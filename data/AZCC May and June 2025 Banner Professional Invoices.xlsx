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32713253099/WOPIServiceId_TP_BOX_2/WOPIUserId_-/"/>
    </mc:Choice>
  </mc:AlternateContent>
  <xr:revisionPtr revIDLastSave="4" documentId="13_ncr:1_{717DB457-BF3E-4A71-B8EA-47C079BD06B2}" xr6:coauthVersionLast="47" xr6:coauthVersionMax="47" xr10:uidLastSave="{B93CD2C3-56B8-4C62-A5BA-DEA6F780AE60}"/>
  <bookViews>
    <workbookView xWindow="-120" yWindow="-120" windowWidth="29040" windowHeight="15720" activeTab="10" xr2:uid="{EC363DFA-C7F1-42C0-9F53-3A25C5C18CB2}"/>
  </bookViews>
  <sheets>
    <sheet name="1463 0001" sheetId="1" r:id="rId1"/>
    <sheet name="ABKCAPROT85" sheetId="2" r:id="rId2"/>
    <sheet name="AV 299 23 301" sheetId="3" r:id="rId3"/>
    <sheet name="BCIMT04" sheetId="4" r:id="rId4"/>
    <sheet name="BGB 16673" sheetId="5" r:id="rId5"/>
    <sheet name="CA224047" sheetId="6" r:id="rId6"/>
    <sheet name="CL04ORY1001" sheetId="7" r:id="rId7"/>
    <sheet name="D361DC00001" sheetId="8" r:id="rId8"/>
    <sheet name="DEKDKK1P207" sheetId="9" r:id="rId9"/>
    <sheet name="EIK1003 001 IMP1734 101" sheetId="10" r:id="rId10"/>
    <sheet name="FLM6774201" sheetId="11" r:id="rId11"/>
    <sheet name="HC366RCC2311" sheetId="12" r:id="rId12"/>
    <sheet name="HCRN BRE20 468" sheetId="13" r:id="rId13"/>
    <sheet name="IMMU13206" sheetId="14" r:id="rId14"/>
    <sheet name="INT231401" sheetId="15" r:id="rId15"/>
    <sheet name="M22716" sheetId="16" r:id="rId16"/>
    <sheet name="MK3475U06" sheetId="17" r:id="rId17"/>
    <sheet name="MK568400" sheetId="18" r:id="rId18"/>
    <sheet name="NUV86801" sheetId="19" r:id="rId19"/>
    <sheet name="PRISM-1" sheetId="20" r:id="rId20"/>
    <sheet name="R1979HM2298" sheetId="21" r:id="rId21"/>
    <sheet name="R5678ONC1879" sheetId="22" r:id="rId22"/>
    <sheet name="RBS24181001" sheetId="23" r:id="rId23"/>
    <sheet name="RLY2608101" sheetId="24" r:id="rId24"/>
    <sheet name="SGNDV004" sheetId="25" r:id="rId25"/>
    <sheet name="SMX 22 002" sheetId="26" r:id="rId26"/>
    <sheet name="VX0120" sheetId="27" r:id="rId27"/>
    <sheet name="XL184 IST103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2" l="1"/>
  <c r="J20" i="11"/>
  <c r="J20" i="10" l="1"/>
  <c r="J21" i="9" l="1"/>
  <c r="J20" i="2" l="1"/>
  <c r="J21" i="1"/>
  <c r="J25" i="28"/>
  <c r="K30" i="27"/>
  <c r="J27" i="27"/>
  <c r="J26" i="27"/>
  <c r="J25" i="27"/>
  <c r="K34" i="26"/>
  <c r="J32" i="26"/>
  <c r="J31" i="26"/>
  <c r="J30" i="26"/>
  <c r="J29" i="26"/>
  <c r="J28" i="26"/>
  <c r="J27" i="26"/>
  <c r="J26" i="26"/>
  <c r="J25" i="26"/>
  <c r="K30" i="25"/>
  <c r="J27" i="25"/>
  <c r="J26" i="25"/>
  <c r="J25" i="25"/>
  <c r="K30" i="24"/>
  <c r="J28" i="24"/>
  <c r="J27" i="24"/>
  <c r="J26" i="24"/>
  <c r="J25" i="24"/>
  <c r="K31" i="23"/>
  <c r="J29" i="23"/>
  <c r="J28" i="23"/>
  <c r="J27" i="23"/>
  <c r="J26" i="23"/>
  <c r="J25" i="23"/>
  <c r="J25" i="22"/>
  <c r="K30" i="21"/>
  <c r="J28" i="21"/>
  <c r="J27" i="21"/>
  <c r="J26" i="21"/>
  <c r="J25" i="21"/>
  <c r="K30" i="20"/>
  <c r="J27" i="20"/>
  <c r="J26" i="20"/>
  <c r="J25" i="20"/>
  <c r="J25" i="19"/>
  <c r="K35" i="18"/>
  <c r="J33" i="18"/>
  <c r="J32" i="18"/>
  <c r="J31" i="18"/>
  <c r="J30" i="18"/>
  <c r="J29" i="18"/>
  <c r="J28" i="18"/>
  <c r="J27" i="18"/>
  <c r="J26" i="18"/>
  <c r="J25" i="18"/>
  <c r="J25" i="17"/>
  <c r="K32" i="16"/>
  <c r="J30" i="16"/>
  <c r="J29" i="16"/>
  <c r="J28" i="16"/>
  <c r="J27" i="16"/>
  <c r="J26" i="16"/>
  <c r="J25" i="16"/>
  <c r="K30" i="15"/>
  <c r="J28" i="15"/>
  <c r="J27" i="15"/>
  <c r="J26" i="15"/>
  <c r="J25" i="15"/>
  <c r="K30" i="14"/>
  <c r="J27" i="14"/>
  <c r="J26" i="14"/>
  <c r="J25" i="14"/>
  <c r="J25" i="13"/>
  <c r="J44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K30" i="11"/>
  <c r="J26" i="11"/>
  <c r="J25" i="11"/>
  <c r="K31" i="10"/>
  <c r="J29" i="10"/>
  <c r="J28" i="10"/>
  <c r="J27" i="10"/>
  <c r="J26" i="10"/>
  <c r="J25" i="10"/>
  <c r="K31" i="9"/>
  <c r="J27" i="9"/>
  <c r="J26" i="9"/>
  <c r="K31" i="8"/>
  <c r="J21" i="8" s="1"/>
  <c r="J29" i="8"/>
  <c r="J28" i="8"/>
  <c r="J27" i="8"/>
  <c r="J26" i="8"/>
  <c r="K30" i="7"/>
  <c r="J27" i="7"/>
  <c r="J26" i="7"/>
  <c r="J25" i="7"/>
  <c r="K30" i="6"/>
  <c r="J27" i="6"/>
  <c r="J26" i="6"/>
  <c r="J25" i="6"/>
  <c r="K31" i="5"/>
  <c r="J29" i="5"/>
  <c r="J28" i="5"/>
  <c r="J27" i="5"/>
  <c r="J26" i="5"/>
  <c r="J25" i="5"/>
  <c r="K29" i="4"/>
  <c r="J26" i="4"/>
  <c r="J25" i="4"/>
  <c r="J25" i="3"/>
  <c r="K29" i="2"/>
  <c r="J26" i="2"/>
  <c r="J25" i="2"/>
  <c r="K34" i="1"/>
  <c r="J32" i="1"/>
  <c r="J31" i="1"/>
  <c r="J30" i="1"/>
  <c r="J29" i="1"/>
  <c r="J28" i="1"/>
  <c r="J27" i="1"/>
  <c r="J26" i="1"/>
</calcChain>
</file>

<file path=xl/sharedStrings.xml><?xml version="1.0" encoding="utf-8"?>
<sst xmlns="http://schemas.openxmlformats.org/spreadsheetml/2006/main" count="1535" uniqueCount="235">
  <si>
    <t>INVOICE NO.:</t>
  </si>
  <si>
    <t xml:space="preserve">1463 0001 May/June 2025 Invoices </t>
  </si>
  <si>
    <t>UNIVERSITY OF ARIZONA</t>
  </si>
  <si>
    <t>MAIL PAYMENT TO:</t>
  </si>
  <si>
    <t>ATTENTION:  SANDRA WARREN</t>
  </si>
  <si>
    <t>BANNER UNIVERSITY MEDICAL GROUP</t>
  </si>
  <si>
    <t>PRINCIPAL ACCOUNTANT, CLINICAL TRIALS - POST AWARD</t>
  </si>
  <si>
    <t xml:space="preserve">PO BOX 741736 </t>
  </si>
  <si>
    <t>UA RESEARCH ADMINISTRATION</t>
  </si>
  <si>
    <t>LOS ANGELES, CA 90074-1736</t>
  </si>
  <si>
    <t>1700 E BROADWAY BLVD</t>
  </si>
  <si>
    <t>TUCSON, AZ 85721</t>
  </si>
  <si>
    <t>TIN</t>
  </si>
  <si>
    <t>94-2958258</t>
  </si>
  <si>
    <t>CREDIT CARD PAYMENTS:</t>
  </si>
  <si>
    <t>CALL: 520-874-7200</t>
  </si>
  <si>
    <t xml:space="preserve">STATEMENT OF MEDICAL SERVICES </t>
  </si>
  <si>
    <t>STUDY NAME:</t>
  </si>
  <si>
    <t>1463 0001</t>
  </si>
  <si>
    <t>STUDY CODE:</t>
  </si>
  <si>
    <t>STUDY00000124</t>
  </si>
  <si>
    <t xml:space="preserve"> </t>
  </si>
  <si>
    <t>KFS NO.:</t>
  </si>
  <si>
    <t>AMOUNT ENCLOSED</t>
  </si>
  <si>
    <t>$</t>
  </si>
  <si>
    <t>RESEARCH:</t>
  </si>
  <si>
    <t>UA Research Industry</t>
  </si>
  <si>
    <t>Practice ID</t>
  </si>
  <si>
    <t>Encounter</t>
  </si>
  <si>
    <t>Patient Name</t>
  </si>
  <si>
    <t>Birth Date</t>
  </si>
  <si>
    <t>Provider</t>
  </si>
  <si>
    <t>DOS</t>
  </si>
  <si>
    <t>CPT4 Code</t>
  </si>
  <si>
    <t>CPT4 Code Description</t>
  </si>
  <si>
    <t>Charge Amount</t>
  </si>
  <si>
    <t>Adjustment</t>
  </si>
  <si>
    <t>Balance Due</t>
  </si>
  <si>
    <t>Number</t>
  </si>
  <si>
    <t>COUNTS, MASON JAMES</t>
  </si>
  <si>
    <t>Sulaiman, Rami H MD</t>
  </si>
  <si>
    <t>CT CHEST DX W CNT</t>
  </si>
  <si>
    <t>CT ABDOMEN&amp;PELVIS W/CONTRAST</t>
  </si>
  <si>
    <t>Mohammed, Shaymaa S MD</t>
  </si>
  <si>
    <t>CT SOFT TISSUE NECK W/DYE</t>
  </si>
  <si>
    <t>Moukabary, Talal MD</t>
  </si>
  <si>
    <t>ELECTROCARDIOGRAM REPORT</t>
  </si>
  <si>
    <t>Tardiff, Jil C MD</t>
  </si>
  <si>
    <t>BALANCE THIS STATEMENT</t>
  </si>
  <si>
    <t>ABKCAPROT85 May/June 2025 Invoices</t>
  </si>
  <si>
    <t>ABKCAPROT85</t>
  </si>
  <si>
    <t>STUDY00003835</t>
  </si>
  <si>
    <t>DAUGHTERY, STEPHEN CHRISTOPHER</t>
  </si>
  <si>
    <t>Drosten, Ralph MD</t>
  </si>
  <si>
    <t>X-RAY EXAM CHEST 2 VIEWS</t>
  </si>
  <si>
    <t>Mukerji, Poornima MD</t>
  </si>
  <si>
    <t>CT ANGIO ABDOM W/O &amp; W/DYE</t>
  </si>
  <si>
    <t>AV 299 23 301 May/June 2025 Invoices</t>
  </si>
  <si>
    <t>AV 299 23 301</t>
  </si>
  <si>
    <t>STUDY00003753</t>
  </si>
  <si>
    <t>HANSFORD, JOAN M</t>
  </si>
  <si>
    <t xml:space="preserve">BCIMT04 May/June 2025 Invoices </t>
  </si>
  <si>
    <t>BCIMT04</t>
  </si>
  <si>
    <t>STUDY00005616</t>
  </si>
  <si>
    <t xml:space="preserve">MARSHALL, JENNIFER </t>
  </si>
  <si>
    <t xml:space="preserve">BGB 16673 May/June 2025 Invoices </t>
  </si>
  <si>
    <t>BGB 16673</t>
  </si>
  <si>
    <t>STUDY00001322</t>
  </si>
  <si>
    <t>CHOATE, JUDITH LEE</t>
  </si>
  <si>
    <t>Miller, Christopher R MD</t>
  </si>
  <si>
    <t>Q9967</t>
  </si>
  <si>
    <t>LOCM IODINE 300-399 MG/ML</t>
  </si>
  <si>
    <t>Aouthmany, Ahmad MD</t>
  </si>
  <si>
    <t>PET IMAGE W/CT FULL BODY</t>
  </si>
  <si>
    <t xml:space="preserve">CA224047 May/June 2025 Invoices </t>
  </si>
  <si>
    <t>CA224047</t>
  </si>
  <si>
    <t>MARLOW, JOSEF EDWARD</t>
  </si>
  <si>
    <t xml:space="preserve">CL04ORY1001 May/June 2025 Invoices </t>
  </si>
  <si>
    <t>CL04ORY1001</t>
  </si>
  <si>
    <t>STUDY00001723</t>
  </si>
  <si>
    <t>ANDERSON, BRUCE NORMAN</t>
  </si>
  <si>
    <t>D361DC0001 May/June 2025 Invoices</t>
  </si>
  <si>
    <t>D361DC00001</t>
  </si>
  <si>
    <t>STUDY00004723</t>
  </si>
  <si>
    <t>CANASTILLOARGUELLES, MONICA PATRICIA</t>
  </si>
  <si>
    <t>Truong, Danh MD</t>
  </si>
  <si>
    <t xml:space="preserve">DEKDKK1P207 May/June 2025 Invoices </t>
  </si>
  <si>
    <t>DEKDKK1P207</t>
  </si>
  <si>
    <t>STUDY00001773</t>
  </si>
  <si>
    <t>ALTAMIRANO, RICARDO</t>
  </si>
  <si>
    <t xml:space="preserve">EIK1003 001 IMP1734 101 May/June 2025 Invoices </t>
  </si>
  <si>
    <t>EIK1003 001 IMP1734  101</t>
  </si>
  <si>
    <t>STUDY00004620</t>
  </si>
  <si>
    <t xml:space="preserve">SCUPIN, TRINA </t>
  </si>
  <si>
    <t>Udayasankar, Unni K MD</t>
  </si>
  <si>
    <t>A9577</t>
  </si>
  <si>
    <t>INJ MULTIHANCE</t>
  </si>
  <si>
    <t>MRI BRAIN STEM W/O &amp; W/DYE</t>
  </si>
  <si>
    <t xml:space="preserve">FLM6674201 May/June 2025 Invoices </t>
  </si>
  <si>
    <t>FLM6774201</t>
  </si>
  <si>
    <t>STUDY00003612</t>
  </si>
  <si>
    <t>MARCO, CHRISTOPHER JOSEPH</t>
  </si>
  <si>
    <t>ZOERB, DANIEL RICHARD</t>
  </si>
  <si>
    <t xml:space="preserve">HC366RCC2311 May/June 2025 Invoices </t>
  </si>
  <si>
    <t>HC366RCC2311</t>
  </si>
  <si>
    <t>STUDY00004287</t>
  </si>
  <si>
    <t>VALLECORONA, MARIA D</t>
  </si>
  <si>
    <t>Al Khafaji, Fatima MBChB</t>
  </si>
  <si>
    <t>Recio Boiles, Alejandro MD</t>
  </si>
  <si>
    <t>VISIT OFFICE/OUTPATIENT EST LEVEL 5</t>
  </si>
  <si>
    <t>Struycken, Lucas C MD</t>
  </si>
  <si>
    <t>NEEDLE BIOPSY OF LIVER</t>
  </si>
  <si>
    <t>MOD SED SAME PHYS/QHP 5/&gt;YRS</t>
  </si>
  <si>
    <t>CT SCAN FOR NEEDLE BIOPSY</t>
  </si>
  <si>
    <t>Rush, Demaretta S MD</t>
  </si>
  <si>
    <t>IMMUNOHISTO ANTB 1ST STAIN</t>
  </si>
  <si>
    <t>TISSUE EXAM BY PATHOLOGIST</t>
  </si>
  <si>
    <t>Kubba, Saad S MD</t>
  </si>
  <si>
    <t>ECHOCARDIOGRAM TTE W/DOPPLER COMP</t>
  </si>
  <si>
    <t>IMG STRAIN MYOC TRACK ASSESSMENT DERIVED SPECKLE</t>
  </si>
  <si>
    <t>CARRILLO, FELIX B</t>
  </si>
  <si>
    <t>Singh, Amitoj J MD`</t>
  </si>
  <si>
    <t xml:space="preserve">HCRN BRE20 468 May/June 2025 Invoices </t>
  </si>
  <si>
    <t>HCRN BRE20 468</t>
  </si>
  <si>
    <t>STUDY00002120</t>
  </si>
  <si>
    <t xml:space="preserve">VILLEGAS, PATRICIA </t>
  </si>
  <si>
    <t xml:space="preserve">IMMU13206 May/June 2025 Invoices </t>
  </si>
  <si>
    <t>IMMU13206</t>
  </si>
  <si>
    <t>RIGGLE, NATHAN DOUGLAS</t>
  </si>
  <si>
    <t>Bozdogan, Erol MD</t>
  </si>
  <si>
    <t xml:space="preserve">INT231401 May/June 2025 Invoices </t>
  </si>
  <si>
    <t>INT231401</t>
  </si>
  <si>
    <t>STUDY00004698</t>
  </si>
  <si>
    <t>UA Research Federal Internal</t>
  </si>
  <si>
    <t xml:space="preserve">VANHAREN, LAURA </t>
  </si>
  <si>
    <t>Kramer, Jennifer M MD</t>
  </si>
  <si>
    <t>BX BREAST 1ST LESION US IMAG</t>
  </si>
  <si>
    <t>VARLEYGUTIERREZ, MAURA C</t>
  </si>
  <si>
    <t>Chiang, Jing Tyzh A MD</t>
  </si>
  <si>
    <t>TOMOSYNTHESIS SCRN DIG BREAST BIL</t>
  </si>
  <si>
    <t>SCR MAMMO BI INCL CAD</t>
  </si>
  <si>
    <t>19083LT</t>
  </si>
  <si>
    <t xml:space="preserve">M22716 May/June 2025 Invoices </t>
  </si>
  <si>
    <t>M22716</t>
  </si>
  <si>
    <t>STUDY00002606</t>
  </si>
  <si>
    <t>FERRANTI, ALEXIA KIM</t>
  </si>
  <si>
    <t>Alpert, Joseph S MD</t>
  </si>
  <si>
    <t xml:space="preserve">MK3475U06 May/June 2025 Invoices </t>
  </si>
  <si>
    <t>MK3475U06</t>
  </si>
  <si>
    <t>STUDY00004725</t>
  </si>
  <si>
    <t xml:space="preserve">CHANG, MI </t>
  </si>
  <si>
    <t xml:space="preserve">MK568400 May/June 2025 Invoices </t>
  </si>
  <si>
    <t>MK568400</t>
  </si>
  <si>
    <t>STUDY00003932</t>
  </si>
  <si>
    <t>BELTRAN, JORGE F</t>
  </si>
  <si>
    <t>Webb, Joel D MD</t>
  </si>
  <si>
    <t>BONE IMAGING WHOLE BODY</t>
  </si>
  <si>
    <t>Gudi, Harish MD</t>
  </si>
  <si>
    <t xml:space="preserve">MORALES, JOSE </t>
  </si>
  <si>
    <t>MORALES, JOSE M</t>
  </si>
  <si>
    <t xml:space="preserve">NUV86801 May/June 2025 Invoices </t>
  </si>
  <si>
    <t>NUV86801</t>
  </si>
  <si>
    <t>STUDY00001143</t>
  </si>
  <si>
    <t>JOHNSON, LISA JEAN</t>
  </si>
  <si>
    <t xml:space="preserve">PRISM-1 May/June 2025 Invoices </t>
  </si>
  <si>
    <t>PRISM-1</t>
  </si>
  <si>
    <t>STUDY00004985</t>
  </si>
  <si>
    <t>MCSPADDEN, ROBIN CODE</t>
  </si>
  <si>
    <t>Ngoy, April Y DO</t>
  </si>
  <si>
    <t xml:space="preserve">R1979HM2298 May/June 2025 Invoice </t>
  </si>
  <si>
    <t>R1979HM2298</t>
  </si>
  <si>
    <t>STUDY00003670</t>
  </si>
  <si>
    <t>JOHNSON, JULIE A</t>
  </si>
  <si>
    <t>Carmody, Raymond F MD</t>
  </si>
  <si>
    <t>Marciniak Thompson, Holly K MD</t>
  </si>
  <si>
    <t>R5678ONC1879 May/June 2025 Invoices</t>
  </si>
  <si>
    <t>R5678ONC1879</t>
  </si>
  <si>
    <t>STUDY00000924</t>
  </si>
  <si>
    <t>KELSO, KARL DAVIS</t>
  </si>
  <si>
    <t xml:space="preserve">RBS24181001 May/June 2025 Invoices </t>
  </si>
  <si>
    <t>RBS24181001</t>
  </si>
  <si>
    <t>STUDY00001160</t>
  </si>
  <si>
    <t>BOUMIS, ROBERT HOUSTON</t>
  </si>
  <si>
    <t>Vittoria De Martini, Ilaria MD</t>
  </si>
  <si>
    <t>BIOPSY ABDOMINAL MASS</t>
  </si>
  <si>
    <t>MOJICA, JOSE M</t>
  </si>
  <si>
    <t>RLY2608101 May/June 2025 Invoices</t>
  </si>
  <si>
    <t>RLY2608101</t>
  </si>
  <si>
    <t>STUDY00000848</t>
  </si>
  <si>
    <t>TERRES, LINDA J</t>
  </si>
  <si>
    <t>Linstrom, Nathan J MD</t>
  </si>
  <si>
    <t>SEITZ, LINDA SUE</t>
  </si>
  <si>
    <t xml:space="preserve">SGNDV004 May/June 2025 Invoices </t>
  </si>
  <si>
    <t>SGNDV004</t>
  </si>
  <si>
    <t>STUDY00003652</t>
  </si>
  <si>
    <t>CLARKE, KAREN SUE</t>
  </si>
  <si>
    <t>Arif Tiwari, Hina MD</t>
  </si>
  <si>
    <t xml:space="preserve">SMX 22 002 May/June 2025 Invoices </t>
  </si>
  <si>
    <t>SMX 22 002</t>
  </si>
  <si>
    <t>STUDY00002821</t>
  </si>
  <si>
    <t>GLOVER, FAITH JEANNE</t>
  </si>
  <si>
    <t>A9503A</t>
  </si>
  <si>
    <t>TC99M MEDRONATE DX/0-30 MCI DOSE</t>
  </si>
  <si>
    <t xml:space="preserve">VX0120 May/June 2025 Invoices </t>
  </si>
  <si>
    <t>VX0120</t>
  </si>
  <si>
    <t>STUDY00003182</t>
  </si>
  <si>
    <t xml:space="preserve">MARTINEZ, GERARDO </t>
  </si>
  <si>
    <t>Julian, Ricklie A MD</t>
  </si>
  <si>
    <t xml:space="preserve">XL184 IST103 May/June 2025 Invoices </t>
  </si>
  <si>
    <t>XL184 IST103</t>
  </si>
  <si>
    <t xml:space="preserve">ROCHA, MAXIMO </t>
  </si>
  <si>
    <t>Ok</t>
  </si>
  <si>
    <t>PI</t>
  </si>
  <si>
    <t>Julian</t>
  </si>
  <si>
    <t>PO 810916</t>
  </si>
  <si>
    <t>KD 10/10/2025</t>
  </si>
  <si>
    <t>OK</t>
  </si>
  <si>
    <t>Rozell</t>
  </si>
  <si>
    <t>KD 10/11/2025</t>
  </si>
  <si>
    <t>KD 10/14/2025</t>
  </si>
  <si>
    <t>Scott</t>
  </si>
  <si>
    <t>KD 10/27/2025</t>
  </si>
  <si>
    <t>Recio Boiles</t>
  </si>
  <si>
    <t>KD 10/31/2025</t>
  </si>
  <si>
    <t>eDOC 32416100</t>
  </si>
  <si>
    <t>eDOC 32415605</t>
  </si>
  <si>
    <t>eDOC 32416013</t>
  </si>
  <si>
    <t>eDOC 32430328</t>
  </si>
  <si>
    <t>eDOC 32644895</t>
  </si>
  <si>
    <t>KD 11/19/2025</t>
  </si>
  <si>
    <t>Gelmann</t>
  </si>
  <si>
    <t>PO: 810816</t>
  </si>
  <si>
    <t>Patient didn't sign consent until Jan 28 2025- These dates of service are not related to the study</t>
  </si>
  <si>
    <t>eDOC 32768254</t>
  </si>
  <si>
    <t>eDOC 32637576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</si>
</sst>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11"/>
      <color rgb="FF000000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Tahoma"/>
      <family val="2"/>
    </font>
    <font>
      <b/>
      <u/>
      <sz val="9"/>
      <name val="Arial"/>
      <family val="2"/>
    </font>
    <font>
      <b/>
      <sz val="9"/>
      <name val="Tahoma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FF0000"/>
      <name val="Arial"/>
      <family val="2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4" fillId="0" borderId="3" xfId="0" applyFont="1" applyBorder="1"/>
    <xf numFmtId="0" fontId="3" fillId="0" borderId="5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readingOrder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8" fillId="3" borderId="7" xfId="0" applyFont="1" applyFill="1" applyBorder="1" applyAlignment="1">
      <alignment horizontal="center"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10" fillId="0" borderId="0" xfId="0" applyFont="1"/>
    <xf numFmtId="14" fontId="0" fillId="0" borderId="0" xfId="0" applyNumberFormat="1"/>
    <xf numFmtId="8" fontId="0" fillId="0" borderId="0" xfId="0" applyNumberFormat="1"/>
    <xf numFmtId="44" fontId="0" fillId="0" borderId="0" xfId="1" applyFont="1"/>
    <xf numFmtId="0" fontId="4" fillId="0" borderId="0" xfId="0" applyFont="1" applyAlignment="1">
      <alignment horizontal="left"/>
    </xf>
    <xf numFmtId="0" fontId="6" fillId="0" borderId="11" xfId="0" applyFont="1" applyBorder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6" xfId="0" applyFont="1" applyBorder="1" applyAlignment="1">
      <alignment horizontal="left" readingOrder="1"/>
    </xf>
    <xf numFmtId="0" fontId="6" fillId="0" borderId="6" xfId="0" applyFont="1" applyBorder="1" applyAlignment="1">
      <alignment horizontal="left" wrapText="1" readingOrder="1"/>
    </xf>
    <xf numFmtId="0" fontId="6" fillId="0" borderId="0" xfId="0" applyFont="1" applyAlignment="1">
      <alignment horizontal="left" wrapText="1" readingOrder="1"/>
    </xf>
    <xf numFmtId="44" fontId="11" fillId="0" borderId="0" xfId="0" applyNumberFormat="1" applyFont="1" applyAlignment="1">
      <alignment horizontal="right" wrapText="1" readingOrder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2" xfId="0" applyFont="1" applyBorder="1" applyAlignment="1">
      <alignment horizontal="right"/>
    </xf>
    <xf numFmtId="8" fontId="11" fillId="0" borderId="0" xfId="0" applyNumberFormat="1" applyFont="1" applyAlignment="1">
      <alignment horizontal="right" wrapText="1" readingOrder="1"/>
    </xf>
    <xf numFmtId="0" fontId="2" fillId="4" borderId="0" xfId="0" applyFont="1" applyFill="1"/>
    <xf numFmtId="0" fontId="0" fillId="4" borderId="0" xfId="0" applyFill="1"/>
    <xf numFmtId="0" fontId="10" fillId="4" borderId="0" xfId="0" applyFont="1" applyFill="1"/>
    <xf numFmtId="14" fontId="0" fillId="4" borderId="0" xfId="0" applyNumberFormat="1" applyFill="1"/>
    <xf numFmtId="8" fontId="0" fillId="4" borderId="0" xfId="0" applyNumberFormat="1" applyFill="1"/>
    <xf numFmtId="44" fontId="1" fillId="4" borderId="0" xfId="1" applyFont="1" applyFill="1"/>
    <xf numFmtId="0" fontId="0" fillId="0" borderId="5" xfId="0" applyBorder="1"/>
    <xf numFmtId="8" fontId="0" fillId="0" borderId="5" xfId="0" applyNumberFormat="1" applyBorder="1"/>
    <xf numFmtId="0" fontId="12" fillId="0" borderId="0" xfId="0" applyFont="1" applyAlignment="1">
      <alignment horizontal="left" wrapText="1" readingOrder="1"/>
    </xf>
    <xf numFmtId="0" fontId="12" fillId="0" borderId="0" xfId="0" applyFont="1"/>
    <xf numFmtId="0" fontId="12" fillId="4" borderId="0" xfId="0" applyFont="1" applyFill="1"/>
    <xf numFmtId="0" fontId="4" fillId="4" borderId="0" xfId="0" applyFont="1" applyFill="1"/>
    <xf numFmtId="14" fontId="4" fillId="4" borderId="0" xfId="0" applyNumberFormat="1" applyFont="1" applyFill="1"/>
    <xf numFmtId="0" fontId="4" fillId="4" borderId="0" xfId="0" applyFont="1" applyFill="1" applyAlignment="1">
      <alignment wrapText="1"/>
    </xf>
    <xf numFmtId="8" fontId="4" fillId="4" borderId="0" xfId="0" applyNumberFormat="1" applyFont="1" applyFill="1"/>
    <xf numFmtId="8" fontId="0" fillId="4" borderId="0" xfId="1" applyNumberFormat="1" applyFont="1" applyFill="1"/>
    <xf numFmtId="0" fontId="13" fillId="0" borderId="0" xfId="0" applyFont="1"/>
    <xf numFmtId="0" fontId="14" fillId="0" borderId="0" xfId="0" applyFont="1"/>
    <xf numFmtId="44" fontId="15" fillId="0" borderId="0" xfId="1" applyFont="1"/>
    <xf numFmtId="0" fontId="9" fillId="0" borderId="8" xfId="0" applyFont="1" applyBorder="1"/>
    <xf numFmtId="0" fontId="6" fillId="0" borderId="0" xfId="0" applyFont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44" fontId="5" fillId="2" borderId="1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left" vertical="top" wrapText="1" readingOrder="1"/>
    </xf>
    <xf numFmtId="0" fontId="6" fillId="0" borderId="6" xfId="0" applyFont="1" applyBorder="1" applyAlignment="1">
      <alignment horizontal="left" readingOrder="1"/>
    </xf>
    <xf numFmtId="0" fontId="6" fillId="0" borderId="6" xfId="0" applyFont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8" fontId="5" fillId="2" borderId="1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3473-289C-4431-8925-F1ED90AAA985}">
  <sheetPr>
    <tabColor theme="0"/>
  </sheetPr>
  <dimension ref="A1:L34"/>
  <sheetViews>
    <sheetView topLeftCell="A13" workbookViewId="0">
      <selection activeCell="H20" sqref="H20"/>
    </sheetView>
  </sheetViews>
  <sheetFormatPr defaultRowHeight="15" x14ac:dyDescent="0.25"/>
  <cols>
    <col min="1" max="1" width="17" customWidth="1"/>
    <col min="2" max="2" width="12.7109375" customWidth="1"/>
    <col min="3" max="3" width="21.85546875" hidden="1" customWidth="1"/>
    <col min="4" max="4" width="15.7109375" hidden="1" customWidth="1"/>
    <col min="5" max="5" width="24.85546875" customWidth="1"/>
    <col min="6" max="6" width="17.42578125" customWidth="1"/>
    <col min="7" max="7" width="16.85546875" customWidth="1"/>
    <col min="8" max="9" width="19.28515625" customWidth="1"/>
    <col min="12" max="12" width="10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56" t="s">
        <v>214</v>
      </c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1" t="s">
        <v>212</v>
      </c>
      <c r="B18" s="11" t="s">
        <v>213</v>
      </c>
      <c r="C18" s="11"/>
      <c r="D18" s="11"/>
      <c r="E18" s="11"/>
      <c r="F18" s="11"/>
      <c r="G18" s="11"/>
      <c r="H18" s="11"/>
      <c r="I18" s="11"/>
      <c r="J18" s="11"/>
      <c r="K18" s="11"/>
      <c r="L18" s="2"/>
    </row>
    <row r="19" spans="1:12" ht="15" customHeight="1" x14ac:dyDescent="0.25">
      <c r="A19" s="12" t="s">
        <v>17</v>
      </c>
      <c r="B19" s="13" t="s">
        <v>18</v>
      </c>
      <c r="C19" s="13"/>
      <c r="D19" s="14"/>
      <c r="E19" s="1"/>
      <c r="F19" s="1"/>
      <c r="G19" s="1"/>
      <c r="H19" s="1"/>
      <c r="I19" s="1"/>
      <c r="J19" s="1"/>
      <c r="K19" s="1"/>
      <c r="L19" s="2"/>
    </row>
    <row r="20" spans="1:12" ht="15.75" customHeight="1" thickBot="1" x14ac:dyDescent="0.3">
      <c r="A20" s="12" t="s">
        <v>19</v>
      </c>
      <c r="B20" s="13" t="s">
        <v>20</v>
      </c>
      <c r="C20" s="13"/>
      <c r="D20" s="14"/>
      <c r="E20" s="15" t="s">
        <v>21</v>
      </c>
      <c r="F20" s="15"/>
      <c r="G20" s="16"/>
      <c r="H20" s="16"/>
      <c r="I20" s="16" t="s">
        <v>224</v>
      </c>
      <c r="J20" s="12"/>
      <c r="K20" s="12"/>
      <c r="L20" s="2"/>
    </row>
    <row r="21" spans="1:12" ht="15.75" thickBot="1" x14ac:dyDescent="0.3">
      <c r="A21" s="16" t="s">
        <v>22</v>
      </c>
      <c r="B21" s="13">
        <v>4261720</v>
      </c>
      <c r="C21" s="13"/>
      <c r="D21" s="16"/>
      <c r="E21" s="17"/>
      <c r="F21" s="17"/>
      <c r="G21" s="16"/>
      <c r="H21" s="16"/>
      <c r="I21" s="18" t="s">
        <v>23</v>
      </c>
      <c r="J21" s="64">
        <f>K34</f>
        <v>318.71000000000004</v>
      </c>
      <c r="K21" s="65"/>
      <c r="L21" s="19"/>
    </row>
    <row r="22" spans="1:12" x14ac:dyDescent="0.25">
      <c r="A22" s="12" t="s">
        <v>25</v>
      </c>
      <c r="B22" s="20" t="s">
        <v>26</v>
      </c>
      <c r="C22" s="17"/>
      <c r="D22" s="14"/>
      <c r="E22" s="21"/>
      <c r="F22" s="14"/>
      <c r="G22" s="12"/>
      <c r="H22" s="12"/>
      <c r="I22" s="12"/>
      <c r="J22" s="12"/>
      <c r="K22" s="12"/>
      <c r="L22" s="2"/>
    </row>
    <row r="23" spans="1:12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2"/>
    </row>
    <row r="24" spans="1:12" x14ac:dyDescent="0.25">
      <c r="A24" s="66" t="s">
        <v>27</v>
      </c>
      <c r="B24" s="22" t="s">
        <v>28</v>
      </c>
      <c r="C24" s="66" t="s">
        <v>29</v>
      </c>
      <c r="D24" s="66" t="s">
        <v>30</v>
      </c>
      <c r="E24" s="66" t="s">
        <v>31</v>
      </c>
      <c r="F24" s="66" t="s">
        <v>32</v>
      </c>
      <c r="G24" s="66" t="s">
        <v>33</v>
      </c>
      <c r="H24" s="66" t="s">
        <v>34</v>
      </c>
      <c r="I24" s="66" t="s">
        <v>35</v>
      </c>
      <c r="J24" s="66" t="s">
        <v>36</v>
      </c>
      <c r="K24" s="66" t="s">
        <v>37</v>
      </c>
      <c r="L24" s="58" t="s">
        <v>215</v>
      </c>
    </row>
    <row r="25" spans="1:12" x14ac:dyDescent="0.25">
      <c r="A25" s="67"/>
      <c r="B25" s="23" t="s">
        <v>38</v>
      </c>
      <c r="C25" s="67"/>
      <c r="D25" s="67"/>
      <c r="E25" s="67"/>
      <c r="F25" s="67"/>
      <c r="G25" s="67"/>
      <c r="H25" s="67"/>
      <c r="I25" s="67"/>
      <c r="J25" s="67"/>
      <c r="K25" s="67"/>
      <c r="L25" s="58"/>
    </row>
    <row r="26" spans="1:12" x14ac:dyDescent="0.25">
      <c r="A26">
        <v>510</v>
      </c>
      <c r="B26" s="24">
        <v>4369673</v>
      </c>
      <c r="C26" t="s">
        <v>39</v>
      </c>
      <c r="D26" s="25">
        <v>33297</v>
      </c>
      <c r="E26" t="s">
        <v>40</v>
      </c>
      <c r="F26" s="25">
        <v>45805</v>
      </c>
      <c r="G26">
        <v>7126026</v>
      </c>
      <c r="H26" t="s">
        <v>41</v>
      </c>
      <c r="I26" s="26">
        <v>160</v>
      </c>
      <c r="J26" s="26">
        <f t="shared" ref="J26:J32" si="0">I26-K26</f>
        <v>86.56</v>
      </c>
      <c r="K26" s="27">
        <v>73.44</v>
      </c>
      <c r="L26" s="28" t="s">
        <v>211</v>
      </c>
    </row>
    <row r="27" spans="1:12" x14ac:dyDescent="0.25">
      <c r="A27">
        <v>510</v>
      </c>
      <c r="B27" s="24">
        <v>4369673</v>
      </c>
      <c r="C27" t="s">
        <v>39</v>
      </c>
      <c r="D27" s="25">
        <v>33297</v>
      </c>
      <c r="E27" t="s">
        <v>40</v>
      </c>
      <c r="F27" s="25">
        <v>45805</v>
      </c>
      <c r="G27">
        <v>7417726</v>
      </c>
      <c r="H27" t="s">
        <v>42</v>
      </c>
      <c r="I27" s="26">
        <v>234</v>
      </c>
      <c r="J27" s="26">
        <f t="shared" si="0"/>
        <v>118.57</v>
      </c>
      <c r="K27" s="27">
        <v>115.43</v>
      </c>
      <c r="L27" s="28" t="s">
        <v>211</v>
      </c>
    </row>
    <row r="28" spans="1:12" x14ac:dyDescent="0.25">
      <c r="A28">
        <v>510</v>
      </c>
      <c r="B28" s="24">
        <v>4374139</v>
      </c>
      <c r="C28" t="s">
        <v>39</v>
      </c>
      <c r="D28" s="25">
        <v>33297</v>
      </c>
      <c r="E28" t="s">
        <v>43</v>
      </c>
      <c r="F28" s="25">
        <v>45805</v>
      </c>
      <c r="G28">
        <v>7049126</v>
      </c>
      <c r="H28" t="s">
        <v>44</v>
      </c>
      <c r="I28" s="26">
        <v>177</v>
      </c>
      <c r="J28" s="26">
        <f t="shared" si="0"/>
        <v>90.12</v>
      </c>
      <c r="K28" s="27">
        <v>86.88</v>
      </c>
      <c r="L28" s="28" t="s">
        <v>211</v>
      </c>
    </row>
    <row r="29" spans="1:12" x14ac:dyDescent="0.25">
      <c r="A29">
        <v>84</v>
      </c>
      <c r="B29" s="24">
        <v>6692755</v>
      </c>
      <c r="C29" t="s">
        <v>39</v>
      </c>
      <c r="D29" s="25">
        <v>33297</v>
      </c>
      <c r="E29" t="s">
        <v>45</v>
      </c>
      <c r="F29" s="25">
        <v>45805</v>
      </c>
      <c r="G29">
        <v>93010</v>
      </c>
      <c r="H29" t="s">
        <v>46</v>
      </c>
      <c r="I29" s="26">
        <v>22</v>
      </c>
      <c r="J29" s="26">
        <f t="shared" si="0"/>
        <v>11.26</v>
      </c>
      <c r="K29" s="27">
        <v>10.74</v>
      </c>
      <c r="L29" s="28" t="s">
        <v>211</v>
      </c>
    </row>
    <row r="30" spans="1:12" x14ac:dyDescent="0.25">
      <c r="A30">
        <v>84</v>
      </c>
      <c r="B30" s="24">
        <v>6724159</v>
      </c>
      <c r="C30" t="s">
        <v>39</v>
      </c>
      <c r="D30" s="25">
        <v>33297</v>
      </c>
      <c r="E30" t="s">
        <v>47</v>
      </c>
      <c r="F30" s="25">
        <v>45817</v>
      </c>
      <c r="G30">
        <v>93010</v>
      </c>
      <c r="H30" t="s">
        <v>46</v>
      </c>
      <c r="I30" s="26">
        <v>22</v>
      </c>
      <c r="J30" s="26">
        <f t="shared" si="0"/>
        <v>11.26</v>
      </c>
      <c r="K30" s="27">
        <v>10.74</v>
      </c>
      <c r="L30" s="28" t="s">
        <v>211</v>
      </c>
    </row>
    <row r="31" spans="1:12" x14ac:dyDescent="0.25">
      <c r="A31">
        <v>84</v>
      </c>
      <c r="B31" s="24">
        <v>6727578</v>
      </c>
      <c r="C31" t="s">
        <v>39</v>
      </c>
      <c r="D31" s="25">
        <v>33297</v>
      </c>
      <c r="E31" t="s">
        <v>45</v>
      </c>
      <c r="F31" s="25">
        <v>45818</v>
      </c>
      <c r="G31">
        <v>93010</v>
      </c>
      <c r="H31" t="s">
        <v>46</v>
      </c>
      <c r="I31" s="26">
        <v>22</v>
      </c>
      <c r="J31" s="26">
        <f t="shared" si="0"/>
        <v>11.26</v>
      </c>
      <c r="K31" s="27">
        <v>10.74</v>
      </c>
      <c r="L31" s="28" t="s">
        <v>211</v>
      </c>
    </row>
    <row r="32" spans="1:12" x14ac:dyDescent="0.25">
      <c r="A32">
        <v>84</v>
      </c>
      <c r="B32" s="24">
        <v>6709185</v>
      </c>
      <c r="C32" t="s">
        <v>39</v>
      </c>
      <c r="D32" s="25">
        <v>33297</v>
      </c>
      <c r="E32" t="s">
        <v>47</v>
      </c>
      <c r="F32" s="25">
        <v>45810</v>
      </c>
      <c r="G32">
        <v>93010</v>
      </c>
      <c r="H32" t="s">
        <v>46</v>
      </c>
      <c r="I32" s="26">
        <v>22</v>
      </c>
      <c r="J32" s="26">
        <f t="shared" si="0"/>
        <v>11.26</v>
      </c>
      <c r="K32" s="27">
        <v>10.74</v>
      </c>
      <c r="L32" s="28" t="s">
        <v>211</v>
      </c>
    </row>
    <row r="33" spans="1:12" ht="15.75" thickBot="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16.5" thickTop="1" x14ac:dyDescent="0.25">
      <c r="A34" s="31" t="s">
        <v>48</v>
      </c>
      <c r="B34" s="31"/>
      <c r="C34" s="32"/>
      <c r="D34" s="32"/>
      <c r="E34" s="32"/>
      <c r="F34" s="32"/>
      <c r="G34" s="33"/>
      <c r="H34" s="33"/>
      <c r="I34" s="33"/>
      <c r="J34" s="33"/>
      <c r="K34" s="34">
        <f>SUM(K26:K32)</f>
        <v>318.71000000000004</v>
      </c>
      <c r="L34" s="33"/>
    </row>
  </sheetData>
  <mergeCells count="16">
    <mergeCell ref="L24:L25"/>
    <mergeCell ref="G2:J2"/>
    <mergeCell ref="F14:G14"/>
    <mergeCell ref="A16:K16"/>
    <mergeCell ref="A17:K17"/>
    <mergeCell ref="J21:K21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5F6-6453-495D-AB99-4A9B165CE242}">
  <sheetPr>
    <tabColor theme="0"/>
  </sheetPr>
  <dimension ref="A1:L29"/>
  <sheetViews>
    <sheetView workbookViewId="0">
      <selection activeCell="H12" sqref="H12"/>
    </sheetView>
  </sheetViews>
  <sheetFormatPr defaultRowHeight="15" x14ac:dyDescent="0.25"/>
  <cols>
    <col min="1" max="1" width="17" customWidth="1"/>
    <col min="3" max="4" width="0" hidden="1" customWidth="1"/>
    <col min="5" max="5" width="21.7109375" customWidth="1"/>
    <col min="6" max="6" width="12.7109375" customWidth="1"/>
    <col min="7" max="7" width="15.140625" customWidth="1"/>
    <col min="8" max="8" width="38.5703125" customWidth="1"/>
    <col min="12" max="12" width="15.42578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49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56" t="s">
        <v>214</v>
      </c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 t="s">
        <v>225</v>
      </c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50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51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4271190</v>
      </c>
      <c r="C20" s="13"/>
      <c r="D20" s="16"/>
      <c r="E20" s="17"/>
      <c r="F20" s="17"/>
      <c r="G20" s="16"/>
      <c r="H20" s="16"/>
      <c r="I20" s="18" t="s">
        <v>23</v>
      </c>
      <c r="J20" s="64">
        <f>K29</f>
        <v>159.28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 t="s">
        <v>215</v>
      </c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6678659</v>
      </c>
      <c r="C25" t="s">
        <v>52</v>
      </c>
      <c r="D25" s="25">
        <v>19994</v>
      </c>
      <c r="E25" t="s">
        <v>53</v>
      </c>
      <c r="F25" s="25">
        <v>45799</v>
      </c>
      <c r="G25">
        <v>71046</v>
      </c>
      <c r="H25" t="s">
        <v>54</v>
      </c>
      <c r="I25" s="26">
        <v>84</v>
      </c>
      <c r="J25" s="26">
        <f>I25-K25</f>
        <v>39.270000000000003</v>
      </c>
      <c r="K25" s="27">
        <v>44.73</v>
      </c>
      <c r="L25" s="28" t="s">
        <v>211</v>
      </c>
    </row>
    <row r="26" spans="1:12" x14ac:dyDescent="0.25">
      <c r="A26">
        <v>510</v>
      </c>
      <c r="B26" s="24">
        <v>4376499</v>
      </c>
      <c r="C26" t="s">
        <v>52</v>
      </c>
      <c r="D26" s="25">
        <v>19994</v>
      </c>
      <c r="E26" t="s">
        <v>55</v>
      </c>
      <c r="F26" s="25">
        <v>45808</v>
      </c>
      <c r="G26">
        <v>7417526</v>
      </c>
      <c r="H26" t="s">
        <v>56</v>
      </c>
      <c r="I26" s="26">
        <v>232</v>
      </c>
      <c r="J26" s="26">
        <f>I26-K26</f>
        <v>117.45</v>
      </c>
      <c r="K26" s="27">
        <v>114.55</v>
      </c>
      <c r="L26" s="28" t="s">
        <v>211</v>
      </c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4">
        <f>SUM(K25:K26)</f>
        <v>159.28</v>
      </c>
      <c r="L29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5F3C-8876-4CA2-B477-C0D2B4568EF2}">
  <sheetPr>
    <tabColor rgb="FFFFFF00"/>
  </sheetPr>
  <dimension ref="A1:L29"/>
  <sheetViews>
    <sheetView topLeftCell="A15" workbookViewId="0">
      <selection activeCell="B20" sqref="B20"/>
    </sheetView>
  </sheetViews>
  <sheetFormatPr defaultRowHeight="15" x14ac:dyDescent="0.25"/>
  <cols>
    <col min="1" max="1" width="17" customWidth="1"/>
    <col min="4" max="4" width="10.425781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57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58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59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4270850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6388005</v>
      </c>
      <c r="C25" t="s">
        <v>60</v>
      </c>
      <c r="D25" s="25">
        <v>22260</v>
      </c>
      <c r="E25" t="s">
        <v>45</v>
      </c>
      <c r="F25" s="25">
        <v>45700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/>
    </row>
    <row r="26" spans="1:1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8">
        <v>10.74</v>
      </c>
      <c r="L29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6D41-4998-4D0C-B764-45667CB4FF71}">
  <sheetPr>
    <tabColor rgb="FFFFFF00"/>
  </sheetPr>
  <dimension ref="A1:L29"/>
  <sheetViews>
    <sheetView topLeftCell="A7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61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2" t="s">
        <v>17</v>
      </c>
      <c r="B18" s="13" t="s">
        <v>62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63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4277150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4362728</v>
      </c>
      <c r="C25" t="s">
        <v>64</v>
      </c>
      <c r="D25" s="25">
        <v>26406</v>
      </c>
      <c r="E25" t="s">
        <v>55</v>
      </c>
      <c r="F25" s="25">
        <v>45804</v>
      </c>
      <c r="G25">
        <v>7417726</v>
      </c>
      <c r="H25" t="s">
        <v>42</v>
      </c>
      <c r="I25" s="26">
        <v>234</v>
      </c>
      <c r="J25" s="26">
        <f>I25-K25</f>
        <v>118.57</v>
      </c>
      <c r="K25" s="27">
        <v>115.43</v>
      </c>
      <c r="L25" s="28"/>
    </row>
    <row r="26" spans="1:12" x14ac:dyDescent="0.25">
      <c r="A26">
        <v>510</v>
      </c>
      <c r="B26" s="24">
        <v>4362728</v>
      </c>
      <c r="C26" t="s">
        <v>64</v>
      </c>
      <c r="D26" s="25">
        <v>26406</v>
      </c>
      <c r="E26" t="s">
        <v>55</v>
      </c>
      <c r="F26" s="25">
        <v>45804</v>
      </c>
      <c r="G26">
        <v>7126026</v>
      </c>
      <c r="H26" t="s">
        <v>41</v>
      </c>
      <c r="I26" s="26">
        <v>160</v>
      </c>
      <c r="J26" s="26">
        <f>I26-K26</f>
        <v>86.56</v>
      </c>
      <c r="K26" s="27">
        <v>73.44</v>
      </c>
      <c r="L26" s="28"/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4">
        <f>SUM(K25:K27)</f>
        <v>188.87</v>
      </c>
      <c r="L29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1738-D9B0-44B6-914A-1412D2849D6D}">
  <sheetPr>
    <tabColor rgb="FFFFFF00"/>
  </sheetPr>
  <dimension ref="A1:L31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10.7109375" customWidth="1"/>
    <col min="10" max="10" width="11.28515625" customWidth="1"/>
    <col min="11" max="11" width="11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65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66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67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24.75" thickBot="1" x14ac:dyDescent="0.3">
      <c r="A20" s="16" t="s">
        <v>22</v>
      </c>
      <c r="B20" s="13">
        <v>4261370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6774210</v>
      </c>
      <c r="C25" t="s">
        <v>68</v>
      </c>
      <c r="D25" s="25">
        <v>16858</v>
      </c>
      <c r="E25" t="s">
        <v>69</v>
      </c>
      <c r="F25" s="25">
        <v>45835</v>
      </c>
      <c r="G25">
        <v>71260</v>
      </c>
      <c r="H25" t="s">
        <v>41</v>
      </c>
      <c r="I25" s="26">
        <v>499</v>
      </c>
      <c r="J25" s="26">
        <f>I25-K25</f>
        <v>273.77</v>
      </c>
      <c r="K25" s="27">
        <v>225.23</v>
      </c>
      <c r="L25" s="28"/>
    </row>
    <row r="26" spans="1:12" x14ac:dyDescent="0.25">
      <c r="A26">
        <v>84</v>
      </c>
      <c r="B26" s="24">
        <v>6774210</v>
      </c>
      <c r="C26" t="s">
        <v>68</v>
      </c>
      <c r="D26" s="25">
        <v>16858</v>
      </c>
      <c r="E26" t="s">
        <v>69</v>
      </c>
      <c r="F26" s="25">
        <v>45835</v>
      </c>
      <c r="G26">
        <v>74177</v>
      </c>
      <c r="H26" t="s">
        <v>42</v>
      </c>
      <c r="I26" s="26">
        <v>831</v>
      </c>
      <c r="J26" s="26">
        <f>I26-K26</f>
        <v>423.84</v>
      </c>
      <c r="K26" s="27">
        <v>407.16</v>
      </c>
      <c r="L26" s="28"/>
    </row>
    <row r="27" spans="1:12" x14ac:dyDescent="0.25">
      <c r="A27">
        <v>84</v>
      </c>
      <c r="B27" s="24">
        <v>6774210</v>
      </c>
      <c r="C27" t="s">
        <v>68</v>
      </c>
      <c r="D27" s="25">
        <v>16858</v>
      </c>
      <c r="E27" t="s">
        <v>69</v>
      </c>
      <c r="F27" s="25">
        <v>45835</v>
      </c>
      <c r="G27" t="s">
        <v>70</v>
      </c>
      <c r="H27" t="s">
        <v>71</v>
      </c>
      <c r="I27" s="26">
        <v>32</v>
      </c>
      <c r="J27" s="26">
        <f>I27-K27</f>
        <v>30.4</v>
      </c>
      <c r="K27" s="27">
        <v>1.6</v>
      </c>
      <c r="L27" s="28"/>
    </row>
    <row r="28" spans="1:12" x14ac:dyDescent="0.25">
      <c r="A28">
        <v>84</v>
      </c>
      <c r="B28" s="24">
        <v>6787362</v>
      </c>
      <c r="C28" t="s">
        <v>68</v>
      </c>
      <c r="D28" s="25">
        <v>16858</v>
      </c>
      <c r="E28" t="s">
        <v>43</v>
      </c>
      <c r="F28" s="25">
        <v>45835</v>
      </c>
      <c r="G28">
        <v>70491</v>
      </c>
      <c r="H28" t="s">
        <v>44</v>
      </c>
      <c r="I28" s="26">
        <v>515</v>
      </c>
      <c r="J28" s="26">
        <f>I28-K28</f>
        <v>266.63</v>
      </c>
      <c r="K28" s="27">
        <v>248.37</v>
      </c>
      <c r="L28" s="28"/>
    </row>
    <row r="29" spans="1:12" x14ac:dyDescent="0.25">
      <c r="A29">
        <v>84</v>
      </c>
      <c r="B29" s="24">
        <v>6787372</v>
      </c>
      <c r="C29" t="s">
        <v>68</v>
      </c>
      <c r="D29" s="25">
        <v>16858</v>
      </c>
      <c r="E29" t="s">
        <v>72</v>
      </c>
      <c r="F29" s="25">
        <v>45835</v>
      </c>
      <c r="G29">
        <v>78816</v>
      </c>
      <c r="H29" t="s">
        <v>73</v>
      </c>
      <c r="I29" s="26">
        <v>3881</v>
      </c>
      <c r="J29" s="26">
        <f>I29-K29</f>
        <v>1738.23</v>
      </c>
      <c r="K29" s="27">
        <v>2142.77</v>
      </c>
      <c r="L29" s="28"/>
    </row>
    <row r="30" spans="1:12" ht="15.75" thickBo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0"/>
    </row>
    <row r="31" spans="1:12" ht="16.5" thickTop="1" x14ac:dyDescent="0.25">
      <c r="A31" s="69" t="s">
        <v>48</v>
      </c>
      <c r="B31" s="69"/>
      <c r="C31" s="70"/>
      <c r="D31" s="70"/>
      <c r="E31" s="70"/>
      <c r="F31" s="70"/>
      <c r="G31" s="33"/>
      <c r="H31" s="33"/>
      <c r="I31" s="33"/>
      <c r="J31" s="33"/>
      <c r="K31" s="34">
        <f>SUM(K25:K29)</f>
        <v>3025.13</v>
      </c>
      <c r="L31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701-6500-41E8-8C28-6B2F0958ED21}">
  <sheetPr>
    <tabColor rgb="FFFFFF00"/>
  </sheetPr>
  <dimension ref="A1:L30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2" max="2" width="13.1406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74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75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thickBot="1" x14ac:dyDescent="0.3">
      <c r="A19" s="12" t="s">
        <v>19</v>
      </c>
      <c r="B19" s="13">
        <v>1806664542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4237420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6694990</v>
      </c>
      <c r="C25" t="s">
        <v>76</v>
      </c>
      <c r="D25" s="25">
        <v>20988</v>
      </c>
      <c r="E25" t="s">
        <v>40</v>
      </c>
      <c r="F25" s="25">
        <v>45805</v>
      </c>
      <c r="G25">
        <v>71260</v>
      </c>
      <c r="H25" t="s">
        <v>41</v>
      </c>
      <c r="I25" s="26">
        <v>499</v>
      </c>
      <c r="J25" s="26">
        <f>I25-K25</f>
        <v>273.77</v>
      </c>
      <c r="K25" s="27">
        <v>225.23</v>
      </c>
      <c r="L25" s="28"/>
    </row>
    <row r="26" spans="1:12" x14ac:dyDescent="0.25">
      <c r="A26">
        <v>84</v>
      </c>
      <c r="B26" s="24">
        <v>6694990</v>
      </c>
      <c r="C26" t="s">
        <v>76</v>
      </c>
      <c r="D26" s="25">
        <v>20988</v>
      </c>
      <c r="E26" t="s">
        <v>40</v>
      </c>
      <c r="F26" s="25">
        <v>45805</v>
      </c>
      <c r="G26">
        <v>74177</v>
      </c>
      <c r="H26" t="s">
        <v>42</v>
      </c>
      <c r="I26" s="26">
        <v>831</v>
      </c>
      <c r="J26" s="26">
        <f>I26-K26</f>
        <v>423.84</v>
      </c>
      <c r="K26" s="27">
        <v>407.16</v>
      </c>
      <c r="L26" s="28"/>
    </row>
    <row r="27" spans="1:12" x14ac:dyDescent="0.25">
      <c r="A27">
        <v>84</v>
      </c>
      <c r="B27" s="24">
        <v>6694990</v>
      </c>
      <c r="C27" t="s">
        <v>76</v>
      </c>
      <c r="D27" s="25">
        <v>20988</v>
      </c>
      <c r="E27" t="s">
        <v>40</v>
      </c>
      <c r="F27" s="25">
        <v>45805</v>
      </c>
      <c r="G27" t="s">
        <v>70</v>
      </c>
      <c r="H27" t="s">
        <v>71</v>
      </c>
      <c r="I27" s="26">
        <v>32</v>
      </c>
      <c r="J27" s="26">
        <f>I27-K27</f>
        <v>30.4</v>
      </c>
      <c r="K27" s="27">
        <v>1.6</v>
      </c>
      <c r="L27" s="28"/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633.99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40C1-3BE0-4136-A6AE-E94D64BC7E15}">
  <sheetPr>
    <tabColor rgb="FFFFFF00"/>
  </sheetPr>
  <dimension ref="A1:L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77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78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79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4268750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6718994</v>
      </c>
      <c r="C25" t="s">
        <v>80</v>
      </c>
      <c r="D25" s="25">
        <v>16656</v>
      </c>
      <c r="E25" t="s">
        <v>45</v>
      </c>
      <c r="F25" s="25">
        <v>45814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/>
    </row>
    <row r="26" spans="1:12" x14ac:dyDescent="0.25">
      <c r="A26">
        <v>84</v>
      </c>
      <c r="B26" s="24">
        <v>6758554</v>
      </c>
      <c r="C26" t="s">
        <v>80</v>
      </c>
      <c r="D26" s="25">
        <v>16656</v>
      </c>
      <c r="E26" t="s">
        <v>45</v>
      </c>
      <c r="F26" s="25">
        <v>45828</v>
      </c>
      <c r="G26">
        <v>93010</v>
      </c>
      <c r="H26" t="s">
        <v>46</v>
      </c>
      <c r="I26" s="26">
        <v>22</v>
      </c>
      <c r="J26" s="26">
        <f>I26-K26</f>
        <v>11.26</v>
      </c>
      <c r="K26" s="27">
        <v>10.74</v>
      </c>
      <c r="L26" s="28"/>
    </row>
    <row r="27" spans="1:12" x14ac:dyDescent="0.25">
      <c r="A27">
        <v>84</v>
      </c>
      <c r="B27" s="24">
        <v>6678144</v>
      </c>
      <c r="C27" t="s">
        <v>80</v>
      </c>
      <c r="D27" s="25">
        <v>16656</v>
      </c>
      <c r="E27" t="s">
        <v>45</v>
      </c>
      <c r="F27" s="25">
        <v>45799</v>
      </c>
      <c r="G27">
        <v>93010</v>
      </c>
      <c r="H27" t="s">
        <v>46</v>
      </c>
      <c r="I27" s="26">
        <v>22</v>
      </c>
      <c r="J27" s="26">
        <f>I27-K27</f>
        <v>11.26</v>
      </c>
      <c r="K27" s="27">
        <v>10.74</v>
      </c>
      <c r="L27" s="28"/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32.22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073C-3541-4307-ABAC-367A3AAC7A0B}">
  <sheetPr>
    <tabColor theme="0"/>
  </sheetPr>
  <dimension ref="A1:L31"/>
  <sheetViews>
    <sheetView topLeftCell="A6" workbookViewId="0">
      <selection activeCell="H19" sqref="H19"/>
    </sheetView>
  </sheetViews>
  <sheetFormatPr defaultRowHeight="15" x14ac:dyDescent="0.25"/>
  <cols>
    <col min="1" max="1" width="12.28515625" customWidth="1"/>
    <col min="2" max="2" width="20" customWidth="1"/>
    <col min="3" max="3" width="26.85546875" customWidth="1"/>
    <col min="4" max="4" width="16.28515625" customWidth="1"/>
    <col min="5" max="5" width="21.85546875" customWidth="1"/>
    <col min="6" max="6" width="12.7109375" customWidth="1"/>
    <col min="12" max="12" width="13.28515625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56" t="s">
        <v>214</v>
      </c>
      <c r="C2" s="1"/>
      <c r="D2" s="1"/>
      <c r="E2" s="1"/>
      <c r="F2" s="3" t="s">
        <v>0</v>
      </c>
      <c r="G2" s="59" t="s">
        <v>81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31.15" customHeight="1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1" t="s">
        <v>212</v>
      </c>
      <c r="B18" s="11" t="s">
        <v>217</v>
      </c>
      <c r="C18" s="11"/>
      <c r="D18" s="11"/>
      <c r="E18" s="11"/>
      <c r="F18" s="11"/>
      <c r="G18" s="11"/>
      <c r="H18" s="11"/>
      <c r="I18" s="11"/>
      <c r="J18" s="11"/>
      <c r="K18" s="11"/>
      <c r="L18" s="2"/>
    </row>
    <row r="19" spans="1:12" ht="15" customHeight="1" x14ac:dyDescent="0.25">
      <c r="A19" s="12" t="s">
        <v>17</v>
      </c>
      <c r="B19" s="13" t="s">
        <v>82</v>
      </c>
      <c r="C19" s="13"/>
      <c r="D19" s="14"/>
      <c r="E19" s="1"/>
      <c r="F19" s="1"/>
      <c r="G19" s="1"/>
      <c r="H19" s="1"/>
      <c r="I19" s="1"/>
      <c r="J19" s="1"/>
      <c r="K19" s="1"/>
      <c r="L19" s="2"/>
    </row>
    <row r="20" spans="1:12" ht="15.75" customHeight="1" thickBot="1" x14ac:dyDescent="0.3">
      <c r="A20" s="12" t="s">
        <v>19</v>
      </c>
      <c r="B20" s="13" t="s">
        <v>83</v>
      </c>
      <c r="C20" s="13"/>
      <c r="D20" s="14"/>
      <c r="E20" s="15" t="s">
        <v>21</v>
      </c>
      <c r="F20" s="15"/>
      <c r="G20" s="16"/>
      <c r="H20" s="16"/>
      <c r="I20" s="16" t="s">
        <v>226</v>
      </c>
      <c r="J20" s="12"/>
      <c r="K20" s="12"/>
      <c r="L20" s="2"/>
    </row>
    <row r="21" spans="1:12" ht="36.75" thickBot="1" x14ac:dyDescent="0.3">
      <c r="A21" s="16" t="s">
        <v>22</v>
      </c>
      <c r="B21" s="13">
        <v>4274840</v>
      </c>
      <c r="C21" s="13"/>
      <c r="D21" s="16"/>
      <c r="E21" s="17"/>
      <c r="F21" s="17"/>
      <c r="G21" s="16"/>
      <c r="H21" s="16"/>
      <c r="I21" s="18" t="s">
        <v>23</v>
      </c>
      <c r="J21" s="64">
        <f>K31</f>
        <v>644.73</v>
      </c>
      <c r="K21" s="65"/>
      <c r="L21" s="19"/>
    </row>
    <row r="22" spans="1:12" x14ac:dyDescent="0.25">
      <c r="A22" s="12" t="s">
        <v>25</v>
      </c>
      <c r="B22" s="20" t="s">
        <v>26</v>
      </c>
      <c r="C22" s="17"/>
      <c r="D22" s="14"/>
      <c r="E22" s="21"/>
      <c r="F22" s="14"/>
      <c r="G22" s="12"/>
      <c r="H22" s="12"/>
      <c r="I22" s="12"/>
      <c r="J22" s="12"/>
      <c r="K22" s="12"/>
      <c r="L22" s="2"/>
    </row>
    <row r="23" spans="1:12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2"/>
    </row>
    <row r="24" spans="1:12" x14ac:dyDescent="0.25">
      <c r="A24" s="66" t="s">
        <v>27</v>
      </c>
      <c r="B24" s="22" t="s">
        <v>28</v>
      </c>
      <c r="C24" s="66" t="s">
        <v>29</v>
      </c>
      <c r="D24" s="66" t="s">
        <v>30</v>
      </c>
      <c r="E24" s="66" t="s">
        <v>31</v>
      </c>
      <c r="F24" s="66" t="s">
        <v>32</v>
      </c>
      <c r="G24" s="66" t="s">
        <v>33</v>
      </c>
      <c r="H24" s="66" t="s">
        <v>34</v>
      </c>
      <c r="I24" s="66" t="s">
        <v>35</v>
      </c>
      <c r="J24" s="66" t="s">
        <v>36</v>
      </c>
      <c r="K24" s="66" t="s">
        <v>37</v>
      </c>
      <c r="L24" s="58" t="s">
        <v>218</v>
      </c>
    </row>
    <row r="25" spans="1:12" x14ac:dyDescent="0.25">
      <c r="A25" s="67"/>
      <c r="B25" s="23" t="s">
        <v>38</v>
      </c>
      <c r="C25" s="67"/>
      <c r="D25" s="67"/>
      <c r="E25" s="67"/>
      <c r="F25" s="67"/>
      <c r="G25" s="67"/>
      <c r="H25" s="67"/>
      <c r="I25" s="67"/>
      <c r="J25" s="67"/>
      <c r="K25" s="67"/>
      <c r="L25" s="58"/>
    </row>
    <row r="26" spans="1:12" ht="30" customHeight="1" x14ac:dyDescent="0.25">
      <c r="A26">
        <v>84</v>
      </c>
      <c r="B26" s="24">
        <v>6554920</v>
      </c>
      <c r="C26" t="s">
        <v>84</v>
      </c>
      <c r="D26" s="25">
        <v>26772</v>
      </c>
      <c r="E26" t="s">
        <v>85</v>
      </c>
      <c r="F26" s="25">
        <v>45752</v>
      </c>
      <c r="G26">
        <v>71260</v>
      </c>
      <c r="H26" t="s">
        <v>41</v>
      </c>
      <c r="I26" s="26">
        <v>499</v>
      </c>
      <c r="J26" s="26">
        <f>I26-K26</f>
        <v>273.77</v>
      </c>
      <c r="K26" s="27">
        <v>225.23</v>
      </c>
      <c r="L26" s="28" t="s">
        <v>216</v>
      </c>
    </row>
    <row r="27" spans="1:12" ht="67.150000000000006" customHeight="1" x14ac:dyDescent="0.25">
      <c r="A27">
        <v>84</v>
      </c>
      <c r="B27" s="24">
        <v>6554920</v>
      </c>
      <c r="C27" t="s">
        <v>84</v>
      </c>
      <c r="D27" s="25">
        <v>26772</v>
      </c>
      <c r="E27" t="s">
        <v>85</v>
      </c>
      <c r="F27" s="25">
        <v>45752</v>
      </c>
      <c r="G27">
        <v>74177</v>
      </c>
      <c r="H27" t="s">
        <v>42</v>
      </c>
      <c r="I27" s="26">
        <v>831</v>
      </c>
      <c r="J27" s="26">
        <f>I27-K27</f>
        <v>423.84</v>
      </c>
      <c r="K27" s="27">
        <v>407.16</v>
      </c>
      <c r="L27" s="28" t="s">
        <v>216</v>
      </c>
    </row>
    <row r="28" spans="1:12" x14ac:dyDescent="0.25">
      <c r="A28">
        <v>84</v>
      </c>
      <c r="B28" s="24">
        <v>6554920</v>
      </c>
      <c r="C28" t="s">
        <v>84</v>
      </c>
      <c r="D28" s="25">
        <v>26772</v>
      </c>
      <c r="E28" t="s">
        <v>85</v>
      </c>
      <c r="F28" s="25">
        <v>45752</v>
      </c>
      <c r="G28" t="s">
        <v>70</v>
      </c>
      <c r="H28" t="s">
        <v>71</v>
      </c>
      <c r="I28" s="26">
        <v>32</v>
      </c>
      <c r="J28" s="26">
        <f>I28-K28</f>
        <v>30.4</v>
      </c>
      <c r="K28" s="27">
        <v>1.6</v>
      </c>
      <c r="L28" s="28" t="s">
        <v>216</v>
      </c>
    </row>
    <row r="29" spans="1:12" x14ac:dyDescent="0.25">
      <c r="A29">
        <v>84</v>
      </c>
      <c r="B29" s="24">
        <v>6692421</v>
      </c>
      <c r="C29" t="s">
        <v>84</v>
      </c>
      <c r="D29" s="25">
        <v>26772</v>
      </c>
      <c r="E29" t="s">
        <v>45</v>
      </c>
      <c r="F29" s="25">
        <v>45805</v>
      </c>
      <c r="G29">
        <v>93010</v>
      </c>
      <c r="H29" t="s">
        <v>46</v>
      </c>
      <c r="I29" s="26">
        <v>22</v>
      </c>
      <c r="J29" s="26">
        <f>I29-K29</f>
        <v>11.26</v>
      </c>
      <c r="K29" s="27">
        <v>10.74</v>
      </c>
      <c r="L29" s="28" t="s">
        <v>211</v>
      </c>
    </row>
    <row r="30" spans="1:12" ht="15.75" thickBo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0"/>
    </row>
    <row r="31" spans="1:12" ht="16.5" thickTop="1" x14ac:dyDescent="0.25">
      <c r="A31" s="69" t="s">
        <v>48</v>
      </c>
      <c r="B31" s="69"/>
      <c r="C31" s="70"/>
      <c r="D31" s="70"/>
      <c r="E31" s="70"/>
      <c r="F31" s="70"/>
      <c r="G31" s="33"/>
      <c r="H31" s="33"/>
      <c r="I31" s="33"/>
      <c r="J31" s="33"/>
      <c r="K31" s="34">
        <f>SUM(K26:K29)</f>
        <v>644.73</v>
      </c>
      <c r="L31" s="33"/>
    </row>
  </sheetData>
  <mergeCells count="24">
    <mergeCell ref="L24:L25"/>
    <mergeCell ref="G2:J2"/>
    <mergeCell ref="F14:G14"/>
    <mergeCell ref="A16:K16"/>
    <mergeCell ref="A17:K17"/>
    <mergeCell ref="J21:K21"/>
    <mergeCell ref="A24:A25"/>
    <mergeCell ref="C24:C25"/>
    <mergeCell ref="D24:D25"/>
    <mergeCell ref="E24:E25"/>
    <mergeCell ref="F24:F25"/>
    <mergeCell ref="J30:K30"/>
    <mergeCell ref="A31:B31"/>
    <mergeCell ref="C31:D31"/>
    <mergeCell ref="E31:F31"/>
    <mergeCell ref="G24:G25"/>
    <mergeCell ref="H24:H25"/>
    <mergeCell ref="A30:B30"/>
    <mergeCell ref="C30:D30"/>
    <mergeCell ref="E30:F30"/>
    <mergeCell ref="G30:I30"/>
    <mergeCell ref="I24:I25"/>
    <mergeCell ref="J24:J25"/>
    <mergeCell ref="K24:K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F80C-A2F8-4B35-A5AC-7D0F6587A18D}">
  <sheetPr>
    <tabColor theme="0"/>
  </sheetPr>
  <dimension ref="A1:L31"/>
  <sheetViews>
    <sheetView topLeftCell="A9" workbookViewId="0">
      <selection activeCell="L19" sqref="L19"/>
    </sheetView>
  </sheetViews>
  <sheetFormatPr defaultRowHeight="15" x14ac:dyDescent="0.25"/>
  <cols>
    <col min="1" max="1" width="17" customWidth="1"/>
    <col min="2" max="2" width="13" customWidth="1"/>
    <col min="3" max="3" width="0" hidden="1" customWidth="1"/>
    <col min="4" max="4" width="12.85546875" hidden="1" customWidth="1"/>
    <col min="5" max="5" width="19.140625" customWidth="1"/>
    <col min="6" max="6" width="17" customWidth="1"/>
    <col min="7" max="7" width="15" customWidth="1"/>
    <col min="8" max="8" width="21" customWidth="1"/>
    <col min="12" max="12" width="24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86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56" t="s">
        <v>214</v>
      </c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1" t="s">
        <v>212</v>
      </c>
      <c r="B18" s="11" t="s">
        <v>220</v>
      </c>
      <c r="C18" s="11"/>
      <c r="D18" s="11"/>
      <c r="E18" s="11" t="s">
        <v>220</v>
      </c>
      <c r="F18" s="11"/>
      <c r="G18" s="11"/>
      <c r="H18" s="11"/>
      <c r="I18" s="11"/>
      <c r="J18" s="11"/>
      <c r="K18" s="11"/>
      <c r="L18" s="2"/>
    </row>
    <row r="19" spans="1:12" ht="15" customHeight="1" x14ac:dyDescent="0.25">
      <c r="A19" s="12" t="s">
        <v>17</v>
      </c>
      <c r="B19" s="13" t="s">
        <v>87</v>
      </c>
      <c r="C19" s="13"/>
      <c r="D19" s="14"/>
      <c r="E19" s="13" t="s">
        <v>87</v>
      </c>
      <c r="F19" s="1"/>
      <c r="G19" s="1"/>
      <c r="H19" s="1"/>
      <c r="I19" s="1"/>
      <c r="J19" s="1"/>
      <c r="K19" s="1"/>
      <c r="L19" s="2"/>
    </row>
    <row r="20" spans="1:12" ht="15.75" customHeight="1" thickBot="1" x14ac:dyDescent="0.3">
      <c r="A20" s="12" t="s">
        <v>19</v>
      </c>
      <c r="B20" s="13" t="s">
        <v>88</v>
      </c>
      <c r="C20" s="13"/>
      <c r="D20" s="14"/>
      <c r="E20" s="13" t="s">
        <v>88</v>
      </c>
      <c r="F20" s="15"/>
      <c r="G20" s="16"/>
      <c r="H20" s="16"/>
      <c r="I20" s="16" t="s">
        <v>227</v>
      </c>
      <c r="J20" s="12"/>
      <c r="K20" s="12"/>
      <c r="L20" s="2"/>
    </row>
    <row r="21" spans="1:12" ht="36.75" thickBot="1" x14ac:dyDescent="0.3">
      <c r="A21" s="16" t="s">
        <v>22</v>
      </c>
      <c r="B21" s="13">
        <v>4265530</v>
      </c>
      <c r="C21" s="13"/>
      <c r="D21" s="16"/>
      <c r="E21" s="13">
        <v>4265530</v>
      </c>
      <c r="F21" s="17"/>
      <c r="G21" s="16"/>
      <c r="H21" s="16"/>
      <c r="I21" s="18" t="s">
        <v>23</v>
      </c>
      <c r="J21" s="64">
        <f>K31</f>
        <v>21.48</v>
      </c>
      <c r="K21" s="65"/>
      <c r="L21" s="19"/>
    </row>
    <row r="22" spans="1:12" x14ac:dyDescent="0.25">
      <c r="A22" s="12" t="s">
        <v>25</v>
      </c>
      <c r="B22" s="39" t="s">
        <v>26</v>
      </c>
      <c r="C22" s="17"/>
      <c r="D22" s="14"/>
      <c r="E22" s="39" t="s">
        <v>26</v>
      </c>
      <c r="F22" s="14"/>
      <c r="G22" s="12"/>
      <c r="H22" s="12"/>
      <c r="I22" s="12"/>
      <c r="J22" s="12"/>
      <c r="K22" s="12"/>
      <c r="L22" s="2"/>
    </row>
    <row r="23" spans="1:12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2"/>
    </row>
    <row r="24" spans="1:12" x14ac:dyDescent="0.25">
      <c r="A24" s="66" t="s">
        <v>27</v>
      </c>
      <c r="B24" s="22" t="s">
        <v>28</v>
      </c>
      <c r="C24" s="66" t="s">
        <v>29</v>
      </c>
      <c r="D24" s="66" t="s">
        <v>30</v>
      </c>
      <c r="E24" s="66" t="s">
        <v>31</v>
      </c>
      <c r="F24" s="66" t="s">
        <v>32</v>
      </c>
      <c r="G24" s="66" t="s">
        <v>33</v>
      </c>
      <c r="H24" s="66" t="s">
        <v>34</v>
      </c>
      <c r="I24" s="66" t="s">
        <v>35</v>
      </c>
      <c r="J24" s="66" t="s">
        <v>36</v>
      </c>
      <c r="K24" s="66" t="s">
        <v>37</v>
      </c>
      <c r="L24" s="58" t="s">
        <v>219</v>
      </c>
    </row>
    <row r="25" spans="1:12" x14ac:dyDescent="0.25">
      <c r="A25" s="67"/>
      <c r="B25" s="23" t="s">
        <v>38</v>
      </c>
      <c r="C25" s="67"/>
      <c r="D25" s="67"/>
      <c r="E25" s="67"/>
      <c r="F25" s="67"/>
      <c r="G25" s="67"/>
      <c r="H25" s="67"/>
      <c r="I25" s="67"/>
      <c r="J25" s="67"/>
      <c r="K25" s="67"/>
      <c r="L25" s="58"/>
    </row>
    <row r="26" spans="1:12" x14ac:dyDescent="0.25">
      <c r="A26" s="40">
        <v>84</v>
      </c>
      <c r="B26" s="41">
        <v>6719297</v>
      </c>
      <c r="C26" s="40" t="s">
        <v>89</v>
      </c>
      <c r="D26" s="42">
        <v>23753</v>
      </c>
      <c r="E26" s="40" t="s">
        <v>45</v>
      </c>
      <c r="F26" s="42">
        <v>45813</v>
      </c>
      <c r="G26" s="40">
        <v>93010</v>
      </c>
      <c r="H26" s="40" t="s">
        <v>46</v>
      </c>
      <c r="I26" s="43">
        <v>22</v>
      </c>
      <c r="J26" s="26">
        <f>I26-K26</f>
        <v>11.26</v>
      </c>
      <c r="K26" s="44">
        <v>10.74</v>
      </c>
      <c r="L26" s="28"/>
    </row>
    <row r="27" spans="1:12" x14ac:dyDescent="0.25">
      <c r="A27" s="40">
        <v>84</v>
      </c>
      <c r="B27" s="41">
        <v>6678044</v>
      </c>
      <c r="C27" s="40" t="s">
        <v>89</v>
      </c>
      <c r="D27" s="42">
        <v>23753</v>
      </c>
      <c r="E27" s="40" t="s">
        <v>45</v>
      </c>
      <c r="F27" s="42">
        <v>45799</v>
      </c>
      <c r="G27" s="40">
        <v>93010</v>
      </c>
      <c r="H27" s="40" t="s">
        <v>46</v>
      </c>
      <c r="I27" s="43">
        <v>22</v>
      </c>
      <c r="J27" s="26">
        <f>I27-K27</f>
        <v>11.26</v>
      </c>
      <c r="K27" s="44">
        <v>10.74</v>
      </c>
      <c r="L27" s="28" t="s">
        <v>211</v>
      </c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 t="s">
        <v>211</v>
      </c>
    </row>
    <row r="29" spans="1:12" x14ac:dyDescent="0.25">
      <c r="A29" s="35"/>
      <c r="B29" s="36"/>
      <c r="C29" s="36"/>
      <c r="D29" s="36"/>
      <c r="E29" s="36"/>
      <c r="F29" s="36"/>
      <c r="G29" s="37"/>
      <c r="H29" s="36"/>
      <c r="I29" s="36"/>
      <c r="J29" s="36"/>
      <c r="K29" s="36"/>
      <c r="L29" s="28"/>
    </row>
    <row r="30" spans="1:12" ht="15.75" thickBo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0"/>
    </row>
    <row r="31" spans="1:12" ht="16.5" thickTop="1" x14ac:dyDescent="0.25">
      <c r="A31" s="69" t="s">
        <v>48</v>
      </c>
      <c r="B31" s="69"/>
      <c r="C31" s="70"/>
      <c r="D31" s="70"/>
      <c r="E31" s="70"/>
      <c r="F31" s="70"/>
      <c r="G31" s="33"/>
      <c r="H31" s="33"/>
      <c r="I31" s="33"/>
      <c r="J31" s="33"/>
      <c r="K31" s="34">
        <f>SUM(K26:K27)</f>
        <v>21.48</v>
      </c>
      <c r="L31" s="33"/>
    </row>
  </sheetData>
  <mergeCells count="24">
    <mergeCell ref="L24:L25"/>
    <mergeCell ref="G2:J2"/>
    <mergeCell ref="F14:G14"/>
    <mergeCell ref="A16:K16"/>
    <mergeCell ref="A17:K17"/>
    <mergeCell ref="J21:K21"/>
    <mergeCell ref="A24:A25"/>
    <mergeCell ref="C24:C25"/>
    <mergeCell ref="D24:D25"/>
    <mergeCell ref="E24:E25"/>
    <mergeCell ref="F24:F25"/>
    <mergeCell ref="J30:K30"/>
    <mergeCell ref="A31:B31"/>
    <mergeCell ref="C31:D31"/>
    <mergeCell ref="E31:F31"/>
    <mergeCell ref="G24:G25"/>
    <mergeCell ref="H24:H25"/>
    <mergeCell ref="A30:B30"/>
    <mergeCell ref="C30:D30"/>
    <mergeCell ref="E30:F30"/>
    <mergeCell ref="G30:I30"/>
    <mergeCell ref="I24:I25"/>
    <mergeCell ref="J24:J25"/>
    <mergeCell ref="K24:K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0FA1-EB39-451E-A377-57BFE9DCFA6A}">
  <sheetPr>
    <tabColor theme="0"/>
  </sheetPr>
  <dimension ref="A1:L31"/>
  <sheetViews>
    <sheetView workbookViewId="0">
      <selection activeCell="H21" sqref="H21"/>
    </sheetView>
  </sheetViews>
  <sheetFormatPr defaultRowHeight="15" x14ac:dyDescent="0.25"/>
  <cols>
    <col min="1" max="1" width="17" customWidth="1"/>
    <col min="2" max="2" width="15.28515625" customWidth="1"/>
    <col min="3" max="3" width="18.140625" hidden="1" customWidth="1"/>
    <col min="4" max="4" width="0" hidden="1" customWidth="1"/>
    <col min="5" max="5" width="16.28515625" customWidth="1"/>
    <col min="6" max="6" width="12.7109375" customWidth="1"/>
    <col min="8" max="8" width="34.7109375" customWidth="1"/>
    <col min="9" max="9" width="24.140625" customWidth="1"/>
    <col min="12" max="12" width="24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56" t="s">
        <v>214</v>
      </c>
      <c r="C2" s="1"/>
      <c r="D2" s="1"/>
      <c r="E2" s="1"/>
      <c r="F2" s="3" t="s">
        <v>0</v>
      </c>
      <c r="G2" s="59" t="s">
        <v>90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91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92</v>
      </c>
      <c r="C19" s="13"/>
      <c r="D19" s="14"/>
      <c r="E19" s="15" t="s">
        <v>21</v>
      </c>
      <c r="F19" s="15"/>
      <c r="G19" s="16"/>
      <c r="H19" s="16"/>
      <c r="I19" s="16" t="s">
        <v>228</v>
      </c>
      <c r="J19" s="12"/>
      <c r="K19" s="12"/>
      <c r="L19" s="2"/>
    </row>
    <row r="20" spans="1:12" ht="15.75" thickBot="1" x14ac:dyDescent="0.3">
      <c r="A20" s="16" t="s">
        <v>22</v>
      </c>
      <c r="B20" s="13">
        <v>4276780</v>
      </c>
      <c r="C20" s="13"/>
      <c r="D20" s="16"/>
      <c r="E20" s="17"/>
      <c r="F20" s="17"/>
      <c r="G20" s="16"/>
      <c r="H20" s="16"/>
      <c r="I20" s="18" t="s">
        <v>23</v>
      </c>
      <c r="J20" s="64">
        <f>K31</f>
        <v>632.59000000000015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 t="s">
        <v>212</v>
      </c>
      <c r="B22" s="12" t="s">
        <v>222</v>
      </c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 t="s">
        <v>221</v>
      </c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6631876</v>
      </c>
      <c r="C25" t="s">
        <v>93</v>
      </c>
      <c r="D25" s="25">
        <v>24529</v>
      </c>
      <c r="E25" t="s">
        <v>45</v>
      </c>
      <c r="F25" s="25">
        <v>45783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 t="s">
        <v>211</v>
      </c>
    </row>
    <row r="26" spans="1:12" x14ac:dyDescent="0.25">
      <c r="A26">
        <v>84</v>
      </c>
      <c r="B26" s="24">
        <v>6620032</v>
      </c>
      <c r="C26" t="s">
        <v>93</v>
      </c>
      <c r="D26" s="25">
        <v>24529</v>
      </c>
      <c r="E26" t="s">
        <v>94</v>
      </c>
      <c r="F26" s="25">
        <v>45778</v>
      </c>
      <c r="G26" t="s">
        <v>95</v>
      </c>
      <c r="H26" t="s">
        <v>96</v>
      </c>
      <c r="I26" s="26">
        <v>69</v>
      </c>
      <c r="J26" s="26">
        <f>I26-K26</f>
        <v>66.459999999999994</v>
      </c>
      <c r="K26" s="27">
        <v>2.54</v>
      </c>
      <c r="L26" s="28" t="s">
        <v>211</v>
      </c>
    </row>
    <row r="27" spans="1:12" x14ac:dyDescent="0.25">
      <c r="A27">
        <v>84</v>
      </c>
      <c r="B27" s="24">
        <v>6620032</v>
      </c>
      <c r="C27" t="s">
        <v>93</v>
      </c>
      <c r="D27" s="25">
        <v>24529</v>
      </c>
      <c r="E27" t="s">
        <v>94</v>
      </c>
      <c r="F27" s="25">
        <v>45778</v>
      </c>
      <c r="G27">
        <v>70553</v>
      </c>
      <c r="H27" t="s">
        <v>97</v>
      </c>
      <c r="I27" s="26">
        <v>927</v>
      </c>
      <c r="J27" s="26">
        <f>I27-K27</f>
        <v>496.56</v>
      </c>
      <c r="K27" s="27">
        <v>430.44</v>
      </c>
      <c r="L27" s="28" t="s">
        <v>211</v>
      </c>
    </row>
    <row r="28" spans="1:12" x14ac:dyDescent="0.25">
      <c r="A28">
        <v>510</v>
      </c>
      <c r="B28" s="24">
        <v>4208919</v>
      </c>
      <c r="C28" t="s">
        <v>93</v>
      </c>
      <c r="D28" s="25">
        <v>24529</v>
      </c>
      <c r="E28" t="s">
        <v>40</v>
      </c>
      <c r="F28" s="25">
        <v>45765</v>
      </c>
      <c r="G28">
        <v>7417726</v>
      </c>
      <c r="H28" t="s">
        <v>42</v>
      </c>
      <c r="I28" s="26">
        <v>234</v>
      </c>
      <c r="J28" s="26">
        <f>I28-K28</f>
        <v>118.57</v>
      </c>
      <c r="K28" s="27">
        <v>115.43</v>
      </c>
      <c r="L28" s="28" t="s">
        <v>211</v>
      </c>
    </row>
    <row r="29" spans="1:12" x14ac:dyDescent="0.25">
      <c r="A29">
        <v>510</v>
      </c>
      <c r="B29" s="24">
        <v>4208719</v>
      </c>
      <c r="C29" t="s">
        <v>93</v>
      </c>
      <c r="D29" s="25">
        <v>24529</v>
      </c>
      <c r="E29" t="s">
        <v>40</v>
      </c>
      <c r="F29" s="25">
        <v>45765</v>
      </c>
      <c r="G29">
        <v>7126026</v>
      </c>
      <c r="H29" t="s">
        <v>41</v>
      </c>
      <c r="I29" s="26">
        <v>160</v>
      </c>
      <c r="J29" s="26">
        <f>I29-K29</f>
        <v>86.56</v>
      </c>
      <c r="K29" s="27">
        <v>73.44</v>
      </c>
      <c r="L29" s="28" t="s">
        <v>211</v>
      </c>
    </row>
    <row r="30" spans="1:12" ht="15.75" thickBo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0"/>
    </row>
    <row r="31" spans="1:12" ht="16.5" thickTop="1" x14ac:dyDescent="0.25">
      <c r="A31" s="69" t="s">
        <v>48</v>
      </c>
      <c r="B31" s="69"/>
      <c r="C31" s="70"/>
      <c r="D31" s="70"/>
      <c r="E31" s="70"/>
      <c r="F31" s="70"/>
      <c r="G31" s="33"/>
      <c r="H31" s="33"/>
      <c r="I31" s="33"/>
      <c r="J31" s="33"/>
      <c r="K31" s="34">
        <f>SUM(K25:K29)</f>
        <v>632.59000000000015</v>
      </c>
      <c r="L31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9387-CC8A-44D2-9348-94941C301FCE}">
  <sheetPr>
    <tabColor theme="0"/>
  </sheetPr>
  <dimension ref="A1:L30"/>
  <sheetViews>
    <sheetView tabSelected="1" workbookViewId="0">
      <selection activeCell="M20" sqref="M20"/>
    </sheetView>
  </sheetViews>
  <sheetFormatPr defaultRowHeight="15" x14ac:dyDescent="0.25"/>
  <cols>
    <col min="1" max="1" width="17" customWidth="1"/>
    <col min="2" max="2" width="18.85546875" customWidth="1"/>
    <col min="3" max="3" width="17" hidden="1" customWidth="1"/>
    <col min="4" max="4" width="17.28515625" hidden="1" customWidth="1"/>
    <col min="5" max="5" width="25.7109375" customWidth="1"/>
    <col min="6" max="6" width="15.28515625" customWidth="1"/>
    <col min="12" max="12" width="17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56" t="s">
        <v>214</v>
      </c>
      <c r="C2" s="1"/>
      <c r="D2" s="1"/>
      <c r="E2" s="1"/>
      <c r="F2" s="3" t="s">
        <v>0</v>
      </c>
      <c r="G2" s="59" t="s">
        <v>98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3" t="s">
        <v>234</v>
      </c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99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100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4270680</v>
      </c>
      <c r="C20" s="13"/>
      <c r="D20" s="16"/>
      <c r="E20" s="17"/>
      <c r="F20" s="17"/>
      <c r="G20" s="16"/>
      <c r="H20" s="16"/>
      <c r="I20" s="18" t="s">
        <v>23</v>
      </c>
      <c r="J20" s="64">
        <f>K30</f>
        <v>21.48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 t="s">
        <v>212</v>
      </c>
      <c r="B22" s="12" t="s">
        <v>213</v>
      </c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 t="s">
        <v>223</v>
      </c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6731365</v>
      </c>
      <c r="C25" t="s">
        <v>101</v>
      </c>
      <c r="D25" s="25">
        <v>20438</v>
      </c>
      <c r="E25" t="s">
        <v>45</v>
      </c>
      <c r="F25" s="25">
        <v>45819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 t="s">
        <v>211</v>
      </c>
    </row>
    <row r="26" spans="1:12" x14ac:dyDescent="0.25">
      <c r="A26">
        <v>84</v>
      </c>
      <c r="B26" s="24">
        <v>6747770</v>
      </c>
      <c r="C26" t="s">
        <v>102</v>
      </c>
      <c r="D26" s="25">
        <v>17468</v>
      </c>
      <c r="E26" t="s">
        <v>45</v>
      </c>
      <c r="F26" s="25">
        <v>45824</v>
      </c>
      <c r="G26">
        <v>93010</v>
      </c>
      <c r="H26" t="s">
        <v>46</v>
      </c>
      <c r="I26" s="26">
        <v>22</v>
      </c>
      <c r="J26" s="26">
        <f>I26-K26</f>
        <v>11.26</v>
      </c>
      <c r="K26" s="27">
        <v>10.74</v>
      </c>
      <c r="L26" s="28" t="s">
        <v>211</v>
      </c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SUM(K25:K26)</f>
        <v>21.48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2A6A-8202-4F94-9C41-5DD64138F9C8}">
  <sheetPr>
    <tabColor theme="0"/>
  </sheetPr>
  <dimension ref="A1:L45"/>
  <sheetViews>
    <sheetView topLeftCell="A13" workbookViewId="0">
      <selection activeCell="O31" sqref="O31"/>
    </sheetView>
  </sheetViews>
  <sheetFormatPr defaultRowHeight="15" x14ac:dyDescent="0.25"/>
  <cols>
    <col min="1" max="1" width="17" customWidth="1"/>
    <col min="2" max="2" width="16.140625" customWidth="1"/>
    <col min="3" max="3" width="18.28515625" customWidth="1"/>
    <col min="4" max="4" width="10.42578125" customWidth="1"/>
    <col min="6" max="6" width="16.85546875" customWidth="1"/>
    <col min="7" max="7" width="15" customWidth="1"/>
    <col min="8" max="8" width="30.5703125" customWidth="1"/>
    <col min="11" max="11" width="11" bestFit="1" customWidth="1"/>
    <col min="12" max="12" width="28.5703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56" t="s">
        <v>231</v>
      </c>
      <c r="C2" s="1"/>
      <c r="D2" s="1"/>
      <c r="E2" s="1"/>
      <c r="F2" s="3" t="s">
        <v>0</v>
      </c>
      <c r="G2" s="59" t="s">
        <v>103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104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105</v>
      </c>
      <c r="C19" s="13"/>
      <c r="D19" s="14"/>
      <c r="E19" s="15" t="s">
        <v>21</v>
      </c>
      <c r="F19" s="15"/>
      <c r="G19" s="16"/>
      <c r="H19" s="16"/>
      <c r="I19" s="16" t="s">
        <v>233</v>
      </c>
      <c r="J19" s="12"/>
      <c r="K19" s="12"/>
      <c r="L19" s="2"/>
    </row>
    <row r="20" spans="1:12" ht="36.75" thickBot="1" x14ac:dyDescent="0.3">
      <c r="A20" s="16" t="s">
        <v>22</v>
      </c>
      <c r="B20" s="13">
        <v>4272350</v>
      </c>
      <c r="C20" s="13"/>
      <c r="D20" s="16"/>
      <c r="E20" s="17"/>
      <c r="F20" s="17"/>
      <c r="G20" s="16"/>
      <c r="H20" s="16"/>
      <c r="I20" s="18" t="s">
        <v>23</v>
      </c>
      <c r="J20" s="73">
        <v>997.98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 t="s">
        <v>212</v>
      </c>
      <c r="B22" s="12" t="s">
        <v>230</v>
      </c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 t="s">
        <v>229</v>
      </c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4394700</v>
      </c>
      <c r="C25" t="s">
        <v>106</v>
      </c>
      <c r="D25" s="25">
        <v>19718</v>
      </c>
      <c r="E25" t="s">
        <v>107</v>
      </c>
      <c r="F25" s="25">
        <v>45814</v>
      </c>
      <c r="G25">
        <v>7126026</v>
      </c>
      <c r="H25" t="s">
        <v>41</v>
      </c>
      <c r="I25" s="26">
        <v>160</v>
      </c>
      <c r="J25" s="26">
        <f t="shared" ref="J25:J44" si="0">I25-K25</f>
        <v>86.56</v>
      </c>
      <c r="K25" s="27">
        <v>73.44</v>
      </c>
      <c r="L25" s="28" t="s">
        <v>211</v>
      </c>
    </row>
    <row r="26" spans="1:12" x14ac:dyDescent="0.25">
      <c r="A26">
        <v>510</v>
      </c>
      <c r="B26" s="24">
        <v>4394700</v>
      </c>
      <c r="C26" t="s">
        <v>106</v>
      </c>
      <c r="D26" s="25">
        <v>19718</v>
      </c>
      <c r="E26" t="s">
        <v>107</v>
      </c>
      <c r="F26" s="25">
        <v>45814</v>
      </c>
      <c r="G26">
        <v>7417726</v>
      </c>
      <c r="H26" t="s">
        <v>42</v>
      </c>
      <c r="I26" s="26">
        <v>234</v>
      </c>
      <c r="J26" s="26">
        <f t="shared" si="0"/>
        <v>118.57</v>
      </c>
      <c r="K26" s="27">
        <v>115.43</v>
      </c>
      <c r="L26" s="28" t="s">
        <v>211</v>
      </c>
    </row>
    <row r="27" spans="1:12" x14ac:dyDescent="0.25">
      <c r="A27">
        <v>510</v>
      </c>
      <c r="B27" s="24">
        <v>4418490</v>
      </c>
      <c r="C27" t="s">
        <v>106</v>
      </c>
      <c r="D27" s="25">
        <v>19718</v>
      </c>
      <c r="E27" t="s">
        <v>108</v>
      </c>
      <c r="F27" s="25">
        <v>45832</v>
      </c>
      <c r="G27">
        <v>99215</v>
      </c>
      <c r="H27" t="s">
        <v>109</v>
      </c>
      <c r="I27" s="26">
        <v>444</v>
      </c>
      <c r="J27" s="26">
        <f t="shared" si="0"/>
        <v>202.23</v>
      </c>
      <c r="K27" s="27">
        <v>241.77</v>
      </c>
      <c r="L27" s="28" t="s">
        <v>211</v>
      </c>
    </row>
    <row r="28" spans="1:12" x14ac:dyDescent="0.25">
      <c r="A28">
        <v>510</v>
      </c>
      <c r="B28" s="24">
        <v>4408109</v>
      </c>
      <c r="C28" t="s">
        <v>106</v>
      </c>
      <c r="D28" s="25">
        <v>19718</v>
      </c>
      <c r="E28" t="s">
        <v>110</v>
      </c>
      <c r="F28" s="25">
        <v>45827</v>
      </c>
      <c r="G28">
        <v>47000</v>
      </c>
      <c r="H28" t="s">
        <v>111</v>
      </c>
      <c r="I28" s="26">
        <v>231</v>
      </c>
      <c r="J28" s="26">
        <f t="shared" si="0"/>
        <v>115.65</v>
      </c>
      <c r="K28" s="27">
        <v>115.35</v>
      </c>
      <c r="L28" s="28" t="s">
        <v>211</v>
      </c>
    </row>
    <row r="29" spans="1:12" x14ac:dyDescent="0.25">
      <c r="A29">
        <v>510</v>
      </c>
      <c r="B29" s="24">
        <v>4408109</v>
      </c>
      <c r="C29" t="s">
        <v>106</v>
      </c>
      <c r="D29" s="25">
        <v>19718</v>
      </c>
      <c r="E29" t="s">
        <v>110</v>
      </c>
      <c r="F29" s="25">
        <v>45827</v>
      </c>
      <c r="G29">
        <v>99152</v>
      </c>
      <c r="H29" t="s">
        <v>112</v>
      </c>
      <c r="I29" s="26">
        <v>32</v>
      </c>
      <c r="J29" s="26">
        <f t="shared" si="0"/>
        <v>15.98</v>
      </c>
      <c r="K29" s="27">
        <v>16.02</v>
      </c>
      <c r="L29" s="28" t="s">
        <v>211</v>
      </c>
    </row>
    <row r="30" spans="1:12" x14ac:dyDescent="0.25">
      <c r="A30">
        <v>510</v>
      </c>
      <c r="B30" s="24">
        <v>4408109</v>
      </c>
      <c r="C30" t="s">
        <v>106</v>
      </c>
      <c r="D30" s="25">
        <v>19718</v>
      </c>
      <c r="E30" t="s">
        <v>110</v>
      </c>
      <c r="F30" s="25">
        <v>45827</v>
      </c>
      <c r="G30">
        <v>7701226</v>
      </c>
      <c r="H30" t="s">
        <v>113</v>
      </c>
      <c r="I30" s="26">
        <v>190</v>
      </c>
      <c r="J30" s="26">
        <f t="shared" si="0"/>
        <v>97.78</v>
      </c>
      <c r="K30" s="27">
        <v>92.22</v>
      </c>
      <c r="L30" s="28" t="s">
        <v>211</v>
      </c>
    </row>
    <row r="31" spans="1:12" x14ac:dyDescent="0.25">
      <c r="A31">
        <v>510</v>
      </c>
      <c r="B31" s="24">
        <v>4423787</v>
      </c>
      <c r="C31" t="s">
        <v>106</v>
      </c>
      <c r="D31" s="25">
        <v>19718</v>
      </c>
      <c r="E31" t="s">
        <v>114</v>
      </c>
      <c r="F31" s="25">
        <v>45827</v>
      </c>
      <c r="G31">
        <v>8834226</v>
      </c>
      <c r="H31" t="s">
        <v>115</v>
      </c>
      <c r="I31" s="26">
        <v>93</v>
      </c>
      <c r="J31" s="26">
        <f t="shared" si="0"/>
        <v>47.67</v>
      </c>
      <c r="K31" s="27">
        <v>45.33</v>
      </c>
      <c r="L31" s="28" t="s">
        <v>211</v>
      </c>
    </row>
    <row r="32" spans="1:12" x14ac:dyDescent="0.25">
      <c r="A32">
        <v>510</v>
      </c>
      <c r="B32" s="24">
        <v>4423787</v>
      </c>
      <c r="C32" t="s">
        <v>106</v>
      </c>
      <c r="D32" s="25">
        <v>19718</v>
      </c>
      <c r="E32" t="s">
        <v>114</v>
      </c>
      <c r="F32" s="25">
        <v>45827</v>
      </c>
      <c r="G32">
        <v>8830726</v>
      </c>
      <c r="H32" t="s">
        <v>116</v>
      </c>
      <c r="I32" s="26">
        <v>217</v>
      </c>
      <c r="J32" s="26">
        <f t="shared" si="0"/>
        <v>110.73</v>
      </c>
      <c r="K32" s="27">
        <v>106.27</v>
      </c>
      <c r="L32" s="28" t="s">
        <v>211</v>
      </c>
    </row>
    <row r="33" spans="1:12" x14ac:dyDescent="0.25">
      <c r="A33">
        <v>84</v>
      </c>
      <c r="B33" s="24">
        <v>6756894</v>
      </c>
      <c r="C33" t="s">
        <v>106</v>
      </c>
      <c r="D33" s="25">
        <v>19718</v>
      </c>
      <c r="E33" t="s">
        <v>117</v>
      </c>
      <c r="F33" s="25">
        <v>45819</v>
      </c>
      <c r="G33">
        <v>9330626</v>
      </c>
      <c r="H33" t="s">
        <v>118</v>
      </c>
      <c r="I33" s="26">
        <v>188</v>
      </c>
      <c r="J33" s="26">
        <f t="shared" si="0"/>
        <v>97.38</v>
      </c>
      <c r="K33" s="27">
        <v>90.62</v>
      </c>
      <c r="L33" s="28" t="s">
        <v>211</v>
      </c>
    </row>
    <row r="34" spans="1:12" x14ac:dyDescent="0.25">
      <c r="A34">
        <v>84</v>
      </c>
      <c r="B34" s="24">
        <v>6756894</v>
      </c>
      <c r="C34" t="s">
        <v>106</v>
      </c>
      <c r="D34" s="25">
        <v>19718</v>
      </c>
      <c r="E34" t="s">
        <v>117</v>
      </c>
      <c r="F34" s="25">
        <v>45819</v>
      </c>
      <c r="G34">
        <v>93356</v>
      </c>
      <c r="H34" t="s">
        <v>119</v>
      </c>
      <c r="I34" s="26">
        <v>31</v>
      </c>
      <c r="J34" s="26">
        <f t="shared" si="0"/>
        <v>15.39</v>
      </c>
      <c r="K34" s="27">
        <v>15.61</v>
      </c>
      <c r="L34" s="28" t="s">
        <v>211</v>
      </c>
    </row>
    <row r="35" spans="1:12" x14ac:dyDescent="0.25">
      <c r="A35">
        <v>84</v>
      </c>
      <c r="B35" s="24">
        <v>6730710</v>
      </c>
      <c r="C35" t="s">
        <v>106</v>
      </c>
      <c r="D35" s="25">
        <v>19718</v>
      </c>
      <c r="E35" t="s">
        <v>45</v>
      </c>
      <c r="F35" s="25">
        <v>45819</v>
      </c>
      <c r="G35">
        <v>93010</v>
      </c>
      <c r="H35" t="s">
        <v>46</v>
      </c>
      <c r="I35" s="26">
        <v>22</v>
      </c>
      <c r="J35" s="26">
        <f t="shared" si="0"/>
        <v>11.26</v>
      </c>
      <c r="K35" s="27">
        <v>10.74</v>
      </c>
      <c r="L35" s="28" t="s">
        <v>211</v>
      </c>
    </row>
    <row r="36" spans="1:12" x14ac:dyDescent="0.25">
      <c r="A36">
        <v>84</v>
      </c>
      <c r="B36" s="24">
        <v>6767009</v>
      </c>
      <c r="C36" t="s">
        <v>106</v>
      </c>
      <c r="D36" s="25">
        <v>19718</v>
      </c>
      <c r="E36" t="s">
        <v>45</v>
      </c>
      <c r="F36" s="25">
        <v>45832</v>
      </c>
      <c r="G36">
        <v>93010</v>
      </c>
      <c r="H36" t="s">
        <v>46</v>
      </c>
      <c r="I36" s="26">
        <v>22</v>
      </c>
      <c r="J36" s="26">
        <f t="shared" si="0"/>
        <v>11.26</v>
      </c>
      <c r="K36" s="27">
        <v>10.74</v>
      </c>
      <c r="L36" s="28" t="s">
        <v>211</v>
      </c>
    </row>
    <row r="37" spans="1:12" x14ac:dyDescent="0.25">
      <c r="A37">
        <v>84</v>
      </c>
      <c r="B37" s="24">
        <v>6776341</v>
      </c>
      <c r="C37" t="s">
        <v>106</v>
      </c>
      <c r="D37" s="25">
        <v>19718</v>
      </c>
      <c r="E37" t="s">
        <v>45</v>
      </c>
      <c r="F37" s="25">
        <v>45833</v>
      </c>
      <c r="G37">
        <v>93010</v>
      </c>
      <c r="H37" t="s">
        <v>46</v>
      </c>
      <c r="I37" s="26">
        <v>22</v>
      </c>
      <c r="J37" s="26">
        <f t="shared" si="0"/>
        <v>11.26</v>
      </c>
      <c r="K37" s="27">
        <v>10.74</v>
      </c>
      <c r="L37" s="28" t="s">
        <v>211</v>
      </c>
    </row>
    <row r="38" spans="1:12" x14ac:dyDescent="0.25">
      <c r="A38">
        <v>84</v>
      </c>
      <c r="B38" s="24">
        <v>6776341</v>
      </c>
      <c r="C38" t="s">
        <v>106</v>
      </c>
      <c r="D38" s="25">
        <v>19718</v>
      </c>
      <c r="E38" t="s">
        <v>45</v>
      </c>
      <c r="F38" s="25">
        <v>45833</v>
      </c>
      <c r="G38">
        <v>9301076</v>
      </c>
      <c r="H38" t="s">
        <v>46</v>
      </c>
      <c r="I38" s="26">
        <v>22</v>
      </c>
      <c r="J38" s="26">
        <f t="shared" si="0"/>
        <v>11.26</v>
      </c>
      <c r="K38" s="27">
        <v>10.74</v>
      </c>
      <c r="L38" s="28" t="s">
        <v>211</v>
      </c>
    </row>
    <row r="39" spans="1:12" x14ac:dyDescent="0.25">
      <c r="A39">
        <v>84</v>
      </c>
      <c r="B39" s="24">
        <v>6792551</v>
      </c>
      <c r="C39" t="s">
        <v>106</v>
      </c>
      <c r="D39" s="25">
        <v>19718</v>
      </c>
      <c r="E39" t="s">
        <v>45</v>
      </c>
      <c r="F39" s="25">
        <v>45840</v>
      </c>
      <c r="G39">
        <v>93010</v>
      </c>
      <c r="H39" t="s">
        <v>46</v>
      </c>
      <c r="I39" s="26">
        <v>22</v>
      </c>
      <c r="J39" s="26">
        <f t="shared" si="0"/>
        <v>11.26</v>
      </c>
      <c r="K39" s="27">
        <v>10.74</v>
      </c>
      <c r="L39" s="28" t="s">
        <v>211</v>
      </c>
    </row>
    <row r="40" spans="1:12" x14ac:dyDescent="0.25">
      <c r="A40">
        <v>84</v>
      </c>
      <c r="B40" s="24">
        <v>6672588</v>
      </c>
      <c r="C40" t="s">
        <v>120</v>
      </c>
      <c r="D40" s="25">
        <v>15865</v>
      </c>
      <c r="E40" t="s">
        <v>45</v>
      </c>
      <c r="F40" s="25">
        <v>45797</v>
      </c>
      <c r="G40">
        <v>93010</v>
      </c>
      <c r="H40" t="s">
        <v>46</v>
      </c>
      <c r="I40" s="26">
        <v>22</v>
      </c>
      <c r="J40" s="26">
        <f t="shared" si="0"/>
        <v>11.26</v>
      </c>
      <c r="K40" s="27">
        <v>10.74</v>
      </c>
      <c r="L40" s="28" t="s">
        <v>211</v>
      </c>
    </row>
    <row r="41" spans="1:12" x14ac:dyDescent="0.25">
      <c r="A41">
        <v>84</v>
      </c>
      <c r="B41" s="24">
        <v>6745924</v>
      </c>
      <c r="C41" t="s">
        <v>120</v>
      </c>
      <c r="D41" s="25">
        <v>15865</v>
      </c>
      <c r="E41" t="s">
        <v>45</v>
      </c>
      <c r="F41" s="25">
        <v>45825</v>
      </c>
      <c r="G41">
        <v>93010</v>
      </c>
      <c r="H41" t="s">
        <v>46</v>
      </c>
      <c r="I41" s="26">
        <v>22</v>
      </c>
      <c r="J41" s="26">
        <f t="shared" si="0"/>
        <v>11.26</v>
      </c>
      <c r="K41" s="27">
        <v>10.74</v>
      </c>
      <c r="L41" s="28" t="s">
        <v>211</v>
      </c>
    </row>
    <row r="42" spans="1:12" x14ac:dyDescent="0.25">
      <c r="A42">
        <v>84</v>
      </c>
      <c r="B42" s="24">
        <v>6427203</v>
      </c>
      <c r="C42" t="s">
        <v>120</v>
      </c>
      <c r="D42" s="25">
        <v>15865</v>
      </c>
      <c r="E42" t="s">
        <v>45</v>
      </c>
      <c r="F42" s="25">
        <v>45713</v>
      </c>
      <c r="G42">
        <v>93010</v>
      </c>
      <c r="H42" t="s">
        <v>46</v>
      </c>
      <c r="I42" s="26">
        <v>22</v>
      </c>
      <c r="J42" s="26">
        <f t="shared" si="0"/>
        <v>11.26</v>
      </c>
      <c r="K42" s="27">
        <v>10.74</v>
      </c>
      <c r="L42" s="28" t="s">
        <v>211</v>
      </c>
    </row>
    <row r="43" spans="1:12" ht="60" customHeight="1" x14ac:dyDescent="0.25">
      <c r="A43">
        <v>84</v>
      </c>
      <c r="B43" s="24">
        <v>6230616</v>
      </c>
      <c r="C43" t="s">
        <v>120</v>
      </c>
      <c r="D43" s="25">
        <v>15865</v>
      </c>
      <c r="E43" t="s">
        <v>121</v>
      </c>
      <c r="F43" s="25">
        <v>45643</v>
      </c>
      <c r="G43">
        <v>93010</v>
      </c>
      <c r="H43" t="s">
        <v>46</v>
      </c>
      <c r="I43" s="26">
        <v>22</v>
      </c>
      <c r="J43" s="26">
        <v>10.95</v>
      </c>
      <c r="K43" s="57">
        <v>11.05</v>
      </c>
      <c r="L43" s="72" t="s">
        <v>232</v>
      </c>
    </row>
    <row r="44" spans="1:12" ht="15.75" thickBot="1" x14ac:dyDescent="0.3">
      <c r="A44">
        <v>84</v>
      </c>
      <c r="B44" s="24">
        <v>6288077</v>
      </c>
      <c r="C44" t="s">
        <v>120</v>
      </c>
      <c r="D44" s="25">
        <v>15865</v>
      </c>
      <c r="E44" t="s">
        <v>45</v>
      </c>
      <c r="F44" s="25">
        <v>45666</v>
      </c>
      <c r="G44" s="45">
        <v>93010</v>
      </c>
      <c r="H44" s="45" t="s">
        <v>46</v>
      </c>
      <c r="I44" s="46">
        <v>22</v>
      </c>
      <c r="J44" s="46">
        <f t="shared" si="0"/>
        <v>11.26</v>
      </c>
      <c r="K44" s="57">
        <v>10.74</v>
      </c>
      <c r="L44" s="72"/>
    </row>
    <row r="45" spans="1:12" ht="16.5" thickTop="1" x14ac:dyDescent="0.25">
      <c r="A45" s="69" t="s">
        <v>48</v>
      </c>
      <c r="B45" s="69"/>
      <c r="C45" s="70"/>
      <c r="D45" s="70"/>
      <c r="E45" s="70"/>
      <c r="F45" s="70"/>
      <c r="G45" s="33"/>
      <c r="H45" s="33"/>
      <c r="I45" s="33"/>
      <c r="J45" s="33"/>
      <c r="K45" s="34">
        <f>SUM(K25:K42)</f>
        <v>997.98000000000013</v>
      </c>
      <c r="L45" s="33"/>
    </row>
  </sheetData>
  <mergeCells count="20">
    <mergeCell ref="G2:J2"/>
    <mergeCell ref="F14:G14"/>
    <mergeCell ref="A16:K16"/>
    <mergeCell ref="A17:K17"/>
    <mergeCell ref="J20:K20"/>
    <mergeCell ref="L43:L44"/>
    <mergeCell ref="A45:B45"/>
    <mergeCell ref="C45:D45"/>
    <mergeCell ref="E45:F45"/>
    <mergeCell ref="G23:G24"/>
    <mergeCell ref="H23:H24"/>
    <mergeCell ref="I23:I24"/>
    <mergeCell ref="J23:J24"/>
    <mergeCell ref="K23:K24"/>
    <mergeCell ref="L23:L24"/>
    <mergeCell ref="A23:A24"/>
    <mergeCell ref="C23:C24"/>
    <mergeCell ref="D23:D24"/>
    <mergeCell ref="E23:E24"/>
    <mergeCell ref="F23:F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6429-2C65-46F2-A927-338B5D05484D}">
  <sheetPr>
    <tabColor rgb="FFFFFF00"/>
  </sheetPr>
  <dimension ref="A1:L29"/>
  <sheetViews>
    <sheetView topLeftCell="A10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8" max="8" width="12.42578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122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123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124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4265090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6711999</v>
      </c>
      <c r="C25" t="s">
        <v>125</v>
      </c>
      <c r="D25" s="25">
        <v>30027</v>
      </c>
      <c r="E25" t="s">
        <v>45</v>
      </c>
      <c r="F25" s="25">
        <v>45811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/>
    </row>
    <row r="26" spans="1:1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8">
        <v>10.74</v>
      </c>
      <c r="L29" s="47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208C-28BF-4FC3-A783-02FD500375D0}">
  <sheetPr>
    <tabColor rgb="FFFFFF00"/>
  </sheetPr>
  <dimension ref="A1:L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2" max="2" width="13.710937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126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127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thickBot="1" x14ac:dyDescent="0.3">
      <c r="A19" s="12" t="s">
        <v>19</v>
      </c>
      <c r="B19" s="13">
        <v>1903472445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4245920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6773944</v>
      </c>
      <c r="C25" t="s">
        <v>128</v>
      </c>
      <c r="D25" s="25">
        <v>23352</v>
      </c>
      <c r="E25" t="s">
        <v>129</v>
      </c>
      <c r="F25" s="25">
        <v>45834</v>
      </c>
      <c r="G25">
        <v>71260</v>
      </c>
      <c r="H25" t="s">
        <v>41</v>
      </c>
      <c r="I25" s="26">
        <v>499</v>
      </c>
      <c r="J25" s="26">
        <f>I25-K25</f>
        <v>273.77</v>
      </c>
      <c r="K25" s="27">
        <v>225.23</v>
      </c>
      <c r="L25" s="28"/>
    </row>
    <row r="26" spans="1:12" x14ac:dyDescent="0.25">
      <c r="A26">
        <v>84</v>
      </c>
      <c r="B26" s="24">
        <v>6773944</v>
      </c>
      <c r="C26" t="s">
        <v>128</v>
      </c>
      <c r="D26" s="25">
        <v>23352</v>
      </c>
      <c r="E26" t="s">
        <v>129</v>
      </c>
      <c r="F26" s="25">
        <v>45834</v>
      </c>
      <c r="G26">
        <v>74177</v>
      </c>
      <c r="H26" t="s">
        <v>42</v>
      </c>
      <c r="I26" s="26">
        <v>831</v>
      </c>
      <c r="J26" s="26">
        <f>I26-K26</f>
        <v>423.84</v>
      </c>
      <c r="K26" s="27">
        <v>407.16</v>
      </c>
      <c r="L26" s="28"/>
    </row>
    <row r="27" spans="1:12" x14ac:dyDescent="0.25">
      <c r="A27">
        <v>84</v>
      </c>
      <c r="B27" s="24">
        <v>6773944</v>
      </c>
      <c r="C27" t="s">
        <v>128</v>
      </c>
      <c r="D27" s="25">
        <v>23352</v>
      </c>
      <c r="E27" t="s">
        <v>129</v>
      </c>
      <c r="F27" s="25">
        <v>45834</v>
      </c>
      <c r="G27" t="s">
        <v>70</v>
      </c>
      <c r="H27" t="s">
        <v>71</v>
      </c>
      <c r="I27" s="26">
        <v>32</v>
      </c>
      <c r="J27" s="26">
        <f>I27-K27</f>
        <v>30.4</v>
      </c>
      <c r="K27" s="27">
        <v>1.6</v>
      </c>
      <c r="L27" s="28"/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633.99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37AF-92FE-4F0C-BC19-EB7A881ADC67}">
  <sheetPr>
    <tabColor rgb="FFFFFF00"/>
  </sheetPr>
  <dimension ref="A1:V30"/>
  <sheetViews>
    <sheetView topLeftCell="A7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8" max="8" width="10.28515625" customWidth="1"/>
    <col min="9" max="9" width="10.7109375" customWidth="1"/>
    <col min="10" max="11" width="11.28515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130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131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132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24.75" thickBot="1" x14ac:dyDescent="0.3">
      <c r="A20" s="16" t="s">
        <v>22</v>
      </c>
      <c r="B20" s="13">
        <v>4273410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133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84</v>
      </c>
      <c r="B25" s="24">
        <v>6639263</v>
      </c>
      <c r="C25" t="s">
        <v>134</v>
      </c>
      <c r="D25" s="25">
        <v>30054</v>
      </c>
      <c r="E25" t="s">
        <v>135</v>
      </c>
      <c r="F25" s="25">
        <v>45785</v>
      </c>
      <c r="G25">
        <v>19083</v>
      </c>
      <c r="H25" t="s">
        <v>136</v>
      </c>
      <c r="I25" s="26">
        <v>1549</v>
      </c>
      <c r="J25" s="26">
        <f t="shared" ref="J25:J28" si="0">I25-K25</f>
        <v>1093.52</v>
      </c>
      <c r="K25" s="27">
        <v>455.48</v>
      </c>
      <c r="L25" s="28"/>
    </row>
    <row r="26" spans="1:22" x14ac:dyDescent="0.25">
      <c r="A26">
        <v>84</v>
      </c>
      <c r="B26" s="24">
        <v>6770814</v>
      </c>
      <c r="C26" t="s">
        <v>137</v>
      </c>
      <c r="D26" s="25">
        <v>28723</v>
      </c>
      <c r="E26" t="s">
        <v>138</v>
      </c>
      <c r="F26" s="25">
        <v>45833</v>
      </c>
      <c r="G26">
        <v>77063</v>
      </c>
      <c r="H26" t="s">
        <v>139</v>
      </c>
      <c r="I26" s="26">
        <v>140</v>
      </c>
      <c r="J26" s="26">
        <f t="shared" si="0"/>
        <v>90.12</v>
      </c>
      <c r="K26" s="27">
        <v>49.88</v>
      </c>
      <c r="L26" s="28"/>
    </row>
    <row r="27" spans="1:22" x14ac:dyDescent="0.25">
      <c r="A27">
        <v>84</v>
      </c>
      <c r="B27" s="24">
        <v>6770814</v>
      </c>
      <c r="C27" t="s">
        <v>137</v>
      </c>
      <c r="D27" s="25">
        <v>28723</v>
      </c>
      <c r="E27" t="s">
        <v>138</v>
      </c>
      <c r="F27" s="25">
        <v>45833</v>
      </c>
      <c r="G27">
        <v>77067</v>
      </c>
      <c r="H27" t="s">
        <v>140</v>
      </c>
      <c r="I27" s="26">
        <v>349</v>
      </c>
      <c r="J27" s="26">
        <f t="shared" si="0"/>
        <v>227.16</v>
      </c>
      <c r="K27" s="27">
        <v>121.84</v>
      </c>
      <c r="L27" s="28"/>
    </row>
    <row r="28" spans="1:22" x14ac:dyDescent="0.25">
      <c r="A28">
        <v>84</v>
      </c>
      <c r="B28" s="24">
        <v>6786375</v>
      </c>
      <c r="C28" t="s">
        <v>137</v>
      </c>
      <c r="D28" s="25">
        <v>28723</v>
      </c>
      <c r="E28" t="s">
        <v>135</v>
      </c>
      <c r="F28" s="25">
        <v>45839</v>
      </c>
      <c r="G28" t="s">
        <v>141</v>
      </c>
      <c r="H28" s="25" t="s">
        <v>136</v>
      </c>
      <c r="I28" s="26">
        <v>1549</v>
      </c>
      <c r="J28" s="26">
        <f t="shared" si="0"/>
        <v>1093.52</v>
      </c>
      <c r="K28" s="27">
        <v>455.48</v>
      </c>
      <c r="L28" s="28"/>
    </row>
    <row r="29" spans="1:2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2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SUM(K25:K28)</f>
        <v>1082.68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E63F-DA03-40A4-BEA8-2DA95607A774}">
  <sheetPr>
    <tabColor rgb="FFFFFF00"/>
  </sheetPr>
  <dimension ref="A1:L32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142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2" t="s">
        <v>17</v>
      </c>
      <c r="B18" s="13" t="s">
        <v>143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144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4266250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6776584</v>
      </c>
      <c r="C25" t="s">
        <v>145</v>
      </c>
      <c r="D25" s="25">
        <v>29169</v>
      </c>
      <c r="E25" t="s">
        <v>45</v>
      </c>
      <c r="F25" s="25">
        <v>45833</v>
      </c>
      <c r="G25">
        <v>93010</v>
      </c>
      <c r="H25" t="s">
        <v>46</v>
      </c>
      <c r="I25" s="26">
        <v>22</v>
      </c>
      <c r="J25" s="26">
        <f t="shared" ref="J25:J30" si="0">I25-K25</f>
        <v>11.26</v>
      </c>
      <c r="K25" s="27">
        <v>10.74</v>
      </c>
      <c r="L25" s="28"/>
    </row>
    <row r="26" spans="1:12" x14ac:dyDescent="0.25">
      <c r="A26">
        <v>84</v>
      </c>
      <c r="B26" s="24">
        <v>6776584</v>
      </c>
      <c r="C26" t="s">
        <v>145</v>
      </c>
      <c r="D26" s="25">
        <v>29169</v>
      </c>
      <c r="E26" t="s">
        <v>45</v>
      </c>
      <c r="F26" s="25">
        <v>45833</v>
      </c>
      <c r="G26">
        <v>9301076</v>
      </c>
      <c r="H26" t="s">
        <v>46</v>
      </c>
      <c r="I26" s="26">
        <v>22</v>
      </c>
      <c r="J26" s="26">
        <f t="shared" si="0"/>
        <v>11.26</v>
      </c>
      <c r="K26" s="27">
        <v>10.74</v>
      </c>
      <c r="L26" s="28"/>
    </row>
    <row r="27" spans="1:12" x14ac:dyDescent="0.25">
      <c r="A27">
        <v>84</v>
      </c>
      <c r="B27" s="24">
        <v>6776585</v>
      </c>
      <c r="C27" t="s">
        <v>145</v>
      </c>
      <c r="D27" s="25">
        <v>29169</v>
      </c>
      <c r="E27" t="s">
        <v>45</v>
      </c>
      <c r="F27" s="25">
        <v>45832</v>
      </c>
      <c r="G27">
        <v>93010</v>
      </c>
      <c r="H27" t="s">
        <v>46</v>
      </c>
      <c r="I27" s="26">
        <v>22</v>
      </c>
      <c r="J27" s="26">
        <f t="shared" si="0"/>
        <v>11.26</v>
      </c>
      <c r="K27" s="27">
        <v>10.74</v>
      </c>
      <c r="L27" s="28"/>
    </row>
    <row r="28" spans="1:12" x14ac:dyDescent="0.25">
      <c r="A28">
        <v>84</v>
      </c>
      <c r="B28" s="24">
        <v>6776585</v>
      </c>
      <c r="C28" t="s">
        <v>145</v>
      </c>
      <c r="D28" s="25">
        <v>29169</v>
      </c>
      <c r="E28" t="s">
        <v>45</v>
      </c>
      <c r="F28" s="25">
        <v>45832</v>
      </c>
      <c r="G28">
        <v>9301076</v>
      </c>
      <c r="H28" t="s">
        <v>46</v>
      </c>
      <c r="I28" s="26">
        <v>22</v>
      </c>
      <c r="J28" s="26">
        <f t="shared" si="0"/>
        <v>11.26</v>
      </c>
      <c r="K28" s="27">
        <v>10.74</v>
      </c>
      <c r="L28" s="28"/>
    </row>
    <row r="29" spans="1:12" x14ac:dyDescent="0.25">
      <c r="A29">
        <v>84</v>
      </c>
      <c r="B29" s="24">
        <v>6776585</v>
      </c>
      <c r="C29" t="s">
        <v>145</v>
      </c>
      <c r="D29" s="25">
        <v>29169</v>
      </c>
      <c r="E29" t="s">
        <v>45</v>
      </c>
      <c r="F29" s="25">
        <v>45832</v>
      </c>
      <c r="G29">
        <v>9301076</v>
      </c>
      <c r="H29" t="s">
        <v>46</v>
      </c>
      <c r="I29" s="26">
        <v>22</v>
      </c>
      <c r="J29" s="26">
        <f t="shared" si="0"/>
        <v>11.26</v>
      </c>
      <c r="K29" s="27">
        <v>10.74</v>
      </c>
      <c r="L29" s="28"/>
    </row>
    <row r="30" spans="1:12" x14ac:dyDescent="0.25">
      <c r="A30">
        <v>84</v>
      </c>
      <c r="B30" s="24">
        <v>6783508</v>
      </c>
      <c r="C30" t="s">
        <v>145</v>
      </c>
      <c r="D30" s="25">
        <v>29169</v>
      </c>
      <c r="E30" t="s">
        <v>146</v>
      </c>
      <c r="F30" s="25">
        <v>45834</v>
      </c>
      <c r="G30">
        <v>93010</v>
      </c>
      <c r="H30" t="s">
        <v>46</v>
      </c>
      <c r="I30" s="26">
        <v>22</v>
      </c>
      <c r="J30" s="26">
        <f t="shared" si="0"/>
        <v>11.26</v>
      </c>
      <c r="K30" s="27">
        <v>10.74</v>
      </c>
      <c r="L30" s="28"/>
    </row>
    <row r="31" spans="1:12" ht="15.75" thickBot="1" x14ac:dyDescent="0.3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30"/>
    </row>
    <row r="32" spans="1:12" ht="16.5" thickTop="1" x14ac:dyDescent="0.25">
      <c r="A32" s="69" t="s">
        <v>48</v>
      </c>
      <c r="B32" s="69"/>
      <c r="C32" s="70"/>
      <c r="D32" s="70"/>
      <c r="E32" s="70"/>
      <c r="F32" s="70"/>
      <c r="G32" s="33"/>
      <c r="H32" s="33"/>
      <c r="I32" s="33"/>
      <c r="J32" s="33"/>
      <c r="K32" s="34">
        <f>SUM(K25:K30)</f>
        <v>64.44</v>
      </c>
      <c r="L32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1:K31"/>
    <mergeCell ref="A32:B32"/>
    <mergeCell ref="C32:D32"/>
    <mergeCell ref="E32:F32"/>
    <mergeCell ref="G23:G24"/>
    <mergeCell ref="H23:H24"/>
    <mergeCell ref="A31:B31"/>
    <mergeCell ref="C31:D31"/>
    <mergeCell ref="E31:F31"/>
    <mergeCell ref="G31:I31"/>
    <mergeCell ref="I23:I24"/>
    <mergeCell ref="J23:J24"/>
    <mergeCell ref="K23:K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DCE8-0726-418E-A2B6-94F7B7F03AC9}">
  <sheetPr>
    <tabColor rgb="FFFFFF00"/>
  </sheetPr>
  <dimension ref="A1:L29"/>
  <sheetViews>
    <sheetView topLeftCell="A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147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148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149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4274890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6750898</v>
      </c>
      <c r="C25" t="s">
        <v>150</v>
      </c>
      <c r="D25" s="25">
        <v>23846</v>
      </c>
      <c r="E25" t="s">
        <v>45</v>
      </c>
      <c r="F25" s="25">
        <v>45826</v>
      </c>
      <c r="G25">
        <v>93010</v>
      </c>
      <c r="H25" t="s">
        <v>46</v>
      </c>
      <c r="I25" s="26">
        <v>22</v>
      </c>
      <c r="J25" s="26">
        <f>I25-K25</f>
        <v>11.26</v>
      </c>
      <c r="K25" s="27">
        <v>10.74</v>
      </c>
      <c r="L25" s="28"/>
    </row>
    <row r="26" spans="1:1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8">
        <v>10.74</v>
      </c>
      <c r="L29" s="47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FD7E-8874-44AD-A714-B96C12B782F2}">
  <sheetPr>
    <tabColor rgb="FFFFFF00"/>
  </sheetPr>
  <dimension ref="A1:L35"/>
  <sheetViews>
    <sheetView topLeftCell="A13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151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152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153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4274210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4412240</v>
      </c>
      <c r="C25" t="s">
        <v>154</v>
      </c>
      <c r="D25" s="25">
        <v>13424</v>
      </c>
      <c r="E25" t="s">
        <v>155</v>
      </c>
      <c r="F25" s="25">
        <v>45827</v>
      </c>
      <c r="G25">
        <v>7830626</v>
      </c>
      <c r="H25" t="s">
        <v>156</v>
      </c>
      <c r="I25" s="26">
        <v>110</v>
      </c>
      <c r="J25" s="26">
        <f t="shared" ref="J25:J33" si="0">I25-K25</f>
        <v>56.7</v>
      </c>
      <c r="K25" s="27">
        <v>53.3</v>
      </c>
      <c r="L25" s="28"/>
    </row>
    <row r="26" spans="1:12" x14ac:dyDescent="0.25">
      <c r="A26">
        <v>510</v>
      </c>
      <c r="B26" s="24">
        <v>4419196</v>
      </c>
      <c r="C26" t="s">
        <v>154</v>
      </c>
      <c r="D26" s="25">
        <v>13424</v>
      </c>
      <c r="E26" t="s">
        <v>157</v>
      </c>
      <c r="F26" s="25">
        <v>45829</v>
      </c>
      <c r="G26">
        <v>7126026</v>
      </c>
      <c r="H26" t="s">
        <v>41</v>
      </c>
      <c r="I26" s="26">
        <v>160</v>
      </c>
      <c r="J26" s="26">
        <f t="shared" si="0"/>
        <v>86.56</v>
      </c>
      <c r="K26" s="27">
        <v>73.44</v>
      </c>
      <c r="L26" s="28"/>
    </row>
    <row r="27" spans="1:12" x14ac:dyDescent="0.25">
      <c r="A27">
        <v>84</v>
      </c>
      <c r="B27" s="24">
        <v>6692018</v>
      </c>
      <c r="C27" t="s">
        <v>154</v>
      </c>
      <c r="D27" s="25">
        <v>13424</v>
      </c>
      <c r="E27" t="s">
        <v>45</v>
      </c>
      <c r="F27" s="25">
        <v>45805</v>
      </c>
      <c r="G27">
        <v>93010</v>
      </c>
      <c r="H27" t="s">
        <v>46</v>
      </c>
      <c r="I27" s="26">
        <v>22</v>
      </c>
      <c r="J27" s="26">
        <f t="shared" si="0"/>
        <v>11.26</v>
      </c>
      <c r="K27" s="27">
        <v>10.74</v>
      </c>
      <c r="L27" s="28"/>
    </row>
    <row r="28" spans="1:12" x14ac:dyDescent="0.25">
      <c r="A28">
        <v>84</v>
      </c>
      <c r="B28" s="24">
        <v>6779359</v>
      </c>
      <c r="C28" t="s">
        <v>154</v>
      </c>
      <c r="D28" s="25">
        <v>13424</v>
      </c>
      <c r="E28" t="s">
        <v>45</v>
      </c>
      <c r="F28" s="25">
        <v>45833</v>
      </c>
      <c r="G28">
        <v>93010</v>
      </c>
      <c r="H28" t="s">
        <v>46</v>
      </c>
      <c r="I28" s="26">
        <v>22</v>
      </c>
      <c r="J28" s="26">
        <f t="shared" si="0"/>
        <v>11.26</v>
      </c>
      <c r="K28" s="27">
        <v>10.74</v>
      </c>
      <c r="L28" s="28"/>
    </row>
    <row r="29" spans="1:12" x14ac:dyDescent="0.25">
      <c r="A29">
        <v>84</v>
      </c>
      <c r="B29" s="24">
        <v>6441440</v>
      </c>
      <c r="C29" t="s">
        <v>154</v>
      </c>
      <c r="D29" s="25">
        <v>13424</v>
      </c>
      <c r="E29" t="s">
        <v>47</v>
      </c>
      <c r="F29" s="25">
        <v>45719</v>
      </c>
      <c r="G29">
        <v>93010</v>
      </c>
      <c r="H29" t="s">
        <v>46</v>
      </c>
      <c r="I29" s="26">
        <v>22</v>
      </c>
      <c r="J29" s="26">
        <f t="shared" si="0"/>
        <v>11.26</v>
      </c>
      <c r="K29" s="27">
        <v>10.74</v>
      </c>
      <c r="L29" s="28"/>
    </row>
    <row r="30" spans="1:12" x14ac:dyDescent="0.25">
      <c r="A30">
        <v>84</v>
      </c>
      <c r="B30" s="24">
        <v>6675171</v>
      </c>
      <c r="C30" t="s">
        <v>158</v>
      </c>
      <c r="D30" s="25">
        <v>22549</v>
      </c>
      <c r="E30" t="s">
        <v>45</v>
      </c>
      <c r="F30" s="25">
        <v>45798</v>
      </c>
      <c r="G30">
        <v>93010</v>
      </c>
      <c r="H30" t="s">
        <v>46</v>
      </c>
      <c r="I30" s="26">
        <v>22</v>
      </c>
      <c r="J30" s="26">
        <f t="shared" si="0"/>
        <v>11.26</v>
      </c>
      <c r="K30" s="27">
        <v>10.74</v>
      </c>
      <c r="L30" s="28"/>
    </row>
    <row r="31" spans="1:12" x14ac:dyDescent="0.25">
      <c r="A31">
        <v>84</v>
      </c>
      <c r="B31" s="24">
        <v>6750709</v>
      </c>
      <c r="C31" t="s">
        <v>158</v>
      </c>
      <c r="D31" s="25">
        <v>22549</v>
      </c>
      <c r="E31" t="s">
        <v>45</v>
      </c>
      <c r="F31" s="25">
        <v>45826</v>
      </c>
      <c r="G31">
        <v>93010</v>
      </c>
      <c r="H31" t="s">
        <v>46</v>
      </c>
      <c r="I31" s="26">
        <v>22</v>
      </c>
      <c r="J31" s="26">
        <f t="shared" si="0"/>
        <v>11.26</v>
      </c>
      <c r="K31" s="27">
        <v>10.74</v>
      </c>
      <c r="L31" s="28"/>
    </row>
    <row r="32" spans="1:12" x14ac:dyDescent="0.25">
      <c r="A32">
        <v>510</v>
      </c>
      <c r="B32" s="24">
        <v>4395101</v>
      </c>
      <c r="C32" t="s">
        <v>159</v>
      </c>
      <c r="D32" s="25">
        <v>22549</v>
      </c>
      <c r="E32" t="s">
        <v>53</v>
      </c>
      <c r="F32" s="25">
        <v>45820</v>
      </c>
      <c r="G32">
        <v>7126026</v>
      </c>
      <c r="H32" t="s">
        <v>41</v>
      </c>
      <c r="I32" s="26">
        <v>160</v>
      </c>
      <c r="J32" s="26">
        <f t="shared" si="0"/>
        <v>86.56</v>
      </c>
      <c r="K32" s="27">
        <v>73.44</v>
      </c>
      <c r="L32" s="28"/>
    </row>
    <row r="33" spans="1:12" x14ac:dyDescent="0.25">
      <c r="A33">
        <v>510</v>
      </c>
      <c r="B33" s="24">
        <v>4396768</v>
      </c>
      <c r="C33" t="s">
        <v>159</v>
      </c>
      <c r="D33" s="25">
        <v>22549</v>
      </c>
      <c r="E33" t="s">
        <v>155</v>
      </c>
      <c r="F33" s="25">
        <v>45820</v>
      </c>
      <c r="G33">
        <v>7830626</v>
      </c>
      <c r="H33" t="s">
        <v>156</v>
      </c>
      <c r="I33" s="26">
        <v>110</v>
      </c>
      <c r="J33" s="26">
        <f t="shared" si="0"/>
        <v>56.7</v>
      </c>
      <c r="K33" s="27">
        <v>53.3</v>
      </c>
      <c r="L33" s="28"/>
    </row>
    <row r="34" spans="1:12" ht="15.75" thickBot="1" x14ac:dyDescent="0.3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30"/>
    </row>
    <row r="35" spans="1:12" ht="16.5" thickTop="1" x14ac:dyDescent="0.25">
      <c r="A35" s="69" t="s">
        <v>48</v>
      </c>
      <c r="B35" s="69"/>
      <c r="C35" s="70"/>
      <c r="D35" s="70"/>
      <c r="E35" s="70"/>
      <c r="F35" s="70"/>
      <c r="G35" s="33"/>
      <c r="H35" s="33"/>
      <c r="I35" s="33"/>
      <c r="J35" s="33"/>
      <c r="K35" s="34">
        <f>SUM(K25:K33)</f>
        <v>307.18</v>
      </c>
      <c r="L35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4:K34"/>
    <mergeCell ref="A35:B35"/>
    <mergeCell ref="C35:D35"/>
    <mergeCell ref="E35:F35"/>
    <mergeCell ref="G23:G24"/>
    <mergeCell ref="H23:H24"/>
    <mergeCell ref="A34:B34"/>
    <mergeCell ref="C34:D34"/>
    <mergeCell ref="E34:F34"/>
    <mergeCell ref="G34:I34"/>
    <mergeCell ref="I23:I24"/>
    <mergeCell ref="J23:J24"/>
    <mergeCell ref="K23:K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2557-24E7-4392-B246-02D794E482E1}">
  <sheetPr>
    <tabColor rgb="FFFFFF00"/>
  </sheetPr>
  <dimension ref="A1:V28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160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24" customHeight="1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161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162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4263030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49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30" customHeight="1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ht="22.5" customHeight="1" x14ac:dyDescent="0.25">
      <c r="A25" s="50">
        <v>84</v>
      </c>
      <c r="B25" s="41">
        <v>4353918</v>
      </c>
      <c r="C25" s="50" t="s">
        <v>163</v>
      </c>
      <c r="D25" s="51">
        <v>24710</v>
      </c>
      <c r="E25" s="50" t="s">
        <v>45</v>
      </c>
      <c r="F25" s="51">
        <v>44930</v>
      </c>
      <c r="G25" s="50">
        <v>93010</v>
      </c>
      <c r="H25" s="52" t="s">
        <v>46</v>
      </c>
      <c r="I25" s="53">
        <v>22</v>
      </c>
      <c r="J25" s="26">
        <f t="shared" ref="J25" si="0">I25-K25</f>
        <v>10.79</v>
      </c>
      <c r="K25" s="54">
        <v>11.21</v>
      </c>
      <c r="L25" s="28"/>
    </row>
    <row r="26" spans="1:2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22" ht="15.75" thickBot="1" x14ac:dyDescent="0.3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30"/>
    </row>
    <row r="28" spans="1:22" ht="16.5" thickTop="1" x14ac:dyDescent="0.25">
      <c r="A28" s="69" t="s">
        <v>48</v>
      </c>
      <c r="B28" s="69"/>
      <c r="C28" s="70"/>
      <c r="D28" s="70"/>
      <c r="E28" s="70"/>
      <c r="F28" s="70"/>
      <c r="G28" s="33"/>
      <c r="H28" s="33"/>
      <c r="I28" s="33"/>
      <c r="J28" s="33"/>
      <c r="K28" s="38">
        <v>11.21</v>
      </c>
      <c r="L28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7:K27"/>
    <mergeCell ref="A28:B28"/>
    <mergeCell ref="C28:D28"/>
    <mergeCell ref="E28:F28"/>
    <mergeCell ref="G23:G24"/>
    <mergeCell ref="H23:H24"/>
    <mergeCell ref="A27:B27"/>
    <mergeCell ref="C27:D27"/>
    <mergeCell ref="E27:F27"/>
    <mergeCell ref="G27:I27"/>
    <mergeCell ref="I23:I24"/>
    <mergeCell ref="J23:J24"/>
    <mergeCell ref="K23:K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100E-6D40-45B1-8EDF-954D4704C4C3}">
  <sheetPr>
    <tabColor rgb="FFFFFF00"/>
  </sheetPr>
  <dimension ref="A1:L30"/>
  <sheetViews>
    <sheetView topLeftCell="A13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164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x14ac:dyDescent="0.25">
      <c r="A18" s="12" t="s">
        <v>17</v>
      </c>
      <c r="B18" s="13" t="s">
        <v>165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166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4277450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4315183</v>
      </c>
      <c r="C25" t="s">
        <v>167</v>
      </c>
      <c r="D25" s="25">
        <v>24131</v>
      </c>
      <c r="E25" t="s">
        <v>168</v>
      </c>
      <c r="F25" s="25">
        <v>45777</v>
      </c>
      <c r="G25">
        <v>7417726</v>
      </c>
      <c r="H25" t="s">
        <v>42</v>
      </c>
      <c r="I25" s="26">
        <v>234</v>
      </c>
      <c r="J25" s="26">
        <f>I25-K25</f>
        <v>118.57</v>
      </c>
      <c r="K25" s="27">
        <v>115.43</v>
      </c>
      <c r="L25" s="28"/>
    </row>
    <row r="26" spans="1:12" x14ac:dyDescent="0.25">
      <c r="A26">
        <v>510</v>
      </c>
      <c r="B26" s="24">
        <v>4315183</v>
      </c>
      <c r="C26" t="s">
        <v>167</v>
      </c>
      <c r="D26" s="25">
        <v>24131</v>
      </c>
      <c r="E26" t="s">
        <v>168</v>
      </c>
      <c r="F26" s="25">
        <v>45777</v>
      </c>
      <c r="G26">
        <v>7126026</v>
      </c>
      <c r="H26" t="s">
        <v>41</v>
      </c>
      <c r="I26" s="26">
        <v>160</v>
      </c>
      <c r="J26" s="26">
        <f>I26-K26</f>
        <v>86.56</v>
      </c>
      <c r="K26" s="27">
        <v>73.44</v>
      </c>
      <c r="L26" s="28"/>
    </row>
    <row r="27" spans="1:12" x14ac:dyDescent="0.25">
      <c r="A27">
        <v>84</v>
      </c>
      <c r="B27" s="24">
        <v>6614979</v>
      </c>
      <c r="C27" t="s">
        <v>167</v>
      </c>
      <c r="D27" s="25">
        <v>24131</v>
      </c>
      <c r="E27" t="s">
        <v>45</v>
      </c>
      <c r="F27" s="25">
        <v>45777</v>
      </c>
      <c r="G27">
        <v>93010</v>
      </c>
      <c r="H27" t="s">
        <v>46</v>
      </c>
      <c r="I27" s="26">
        <v>22</v>
      </c>
      <c r="J27" s="26">
        <f>I27-K27</f>
        <v>11.26</v>
      </c>
      <c r="K27" s="27">
        <v>10.74</v>
      </c>
      <c r="L27" s="28"/>
    </row>
    <row r="28" spans="1:1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199.61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31A7-44EA-4CB8-A331-25D8A1D771A0}">
  <sheetPr>
    <tabColor rgb="FFFFFF00"/>
  </sheetPr>
  <dimension ref="A1:L30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11.140625" customWidth="1"/>
    <col min="10" max="10" width="10.42578125" customWidth="1"/>
    <col min="11" max="11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169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170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171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24.75" thickBot="1" x14ac:dyDescent="0.3">
      <c r="A20" s="16" t="s">
        <v>22</v>
      </c>
      <c r="B20" s="13">
        <v>4272250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4332398</v>
      </c>
      <c r="C25" t="s">
        <v>172</v>
      </c>
      <c r="D25" s="25">
        <v>24350</v>
      </c>
      <c r="E25" t="s">
        <v>173</v>
      </c>
      <c r="F25" s="25">
        <v>45786</v>
      </c>
      <c r="G25">
        <v>7049126</v>
      </c>
      <c r="H25" t="s">
        <v>44</v>
      </c>
      <c r="I25" s="26">
        <v>177</v>
      </c>
      <c r="J25" s="26">
        <f>I25-K25</f>
        <v>90.12</v>
      </c>
      <c r="K25" s="27">
        <v>86.88</v>
      </c>
      <c r="L25" s="28"/>
    </row>
    <row r="26" spans="1:12" x14ac:dyDescent="0.25">
      <c r="A26">
        <v>510</v>
      </c>
      <c r="B26" s="24">
        <v>4334808</v>
      </c>
      <c r="C26" t="s">
        <v>172</v>
      </c>
      <c r="D26" s="25">
        <v>24350</v>
      </c>
      <c r="E26" t="s">
        <v>55</v>
      </c>
      <c r="F26" s="25">
        <v>45786</v>
      </c>
      <c r="G26">
        <v>7417726</v>
      </c>
      <c r="H26" t="s">
        <v>42</v>
      </c>
      <c r="I26" s="26">
        <v>234</v>
      </c>
      <c r="J26" s="26">
        <f>I26-K26</f>
        <v>118.57</v>
      </c>
      <c r="K26" s="27">
        <v>115.43</v>
      </c>
      <c r="L26" s="28"/>
    </row>
    <row r="27" spans="1:12" x14ac:dyDescent="0.25">
      <c r="A27">
        <v>510</v>
      </c>
      <c r="B27" s="24">
        <v>4334808</v>
      </c>
      <c r="C27" t="s">
        <v>172</v>
      </c>
      <c r="D27" s="25">
        <v>24350</v>
      </c>
      <c r="E27" t="s">
        <v>55</v>
      </c>
      <c r="F27" s="25">
        <v>45786</v>
      </c>
      <c r="G27">
        <v>7126026</v>
      </c>
      <c r="H27" t="s">
        <v>41</v>
      </c>
      <c r="I27" s="26">
        <v>160</v>
      </c>
      <c r="J27" s="26">
        <f>I27-K27</f>
        <v>86.56</v>
      </c>
      <c r="K27" s="27">
        <v>73.44</v>
      </c>
      <c r="L27" s="28"/>
    </row>
    <row r="28" spans="1:12" x14ac:dyDescent="0.25">
      <c r="A28">
        <v>84</v>
      </c>
      <c r="B28" s="24">
        <v>6639269</v>
      </c>
      <c r="C28" t="s">
        <v>172</v>
      </c>
      <c r="D28" s="25">
        <v>24350</v>
      </c>
      <c r="E28" t="s">
        <v>174</v>
      </c>
      <c r="F28" s="25">
        <v>45785</v>
      </c>
      <c r="G28">
        <v>78816</v>
      </c>
      <c r="H28" t="s">
        <v>73</v>
      </c>
      <c r="I28" s="26">
        <v>3881</v>
      </c>
      <c r="J28" s="26">
        <f>I28-K28</f>
        <v>1738.23</v>
      </c>
      <c r="K28" s="27">
        <v>2142.77</v>
      </c>
      <c r="L28" s="28"/>
    </row>
    <row r="29" spans="1:1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1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SUM(K25:K28)</f>
        <v>2418.52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6654-FF78-4ECC-B342-D3FEDE8E60AF}">
  <sheetPr>
    <tabColor rgb="FFFFFF00"/>
  </sheetPr>
  <dimension ref="A1:L29"/>
  <sheetViews>
    <sheetView topLeftCell="A13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9" max="9" width="11.28515625" customWidth="1"/>
    <col min="10" max="10" width="10.5703125" customWidth="1"/>
    <col min="11" max="11" width="10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175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55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176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177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24.75" thickBot="1" x14ac:dyDescent="0.3">
      <c r="A20" s="16" t="s">
        <v>22</v>
      </c>
      <c r="B20" s="13">
        <v>4262450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84</v>
      </c>
      <c r="B25" s="24">
        <v>6692242</v>
      </c>
      <c r="C25" t="s">
        <v>178</v>
      </c>
      <c r="D25" s="25">
        <v>16413</v>
      </c>
      <c r="E25" t="s">
        <v>72</v>
      </c>
      <c r="F25" s="25">
        <v>45800</v>
      </c>
      <c r="G25">
        <v>78816</v>
      </c>
      <c r="H25" t="s">
        <v>73</v>
      </c>
      <c r="I25" s="26">
        <v>3881</v>
      </c>
      <c r="J25" s="26">
        <f>I25-K25</f>
        <v>1738.23</v>
      </c>
      <c r="K25" s="27">
        <v>2142.77</v>
      </c>
      <c r="L25" s="28"/>
    </row>
    <row r="26" spans="1:1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1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1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1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8">
        <v>2142.77</v>
      </c>
      <c r="L29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3952-6A69-4960-B86B-18F2CB24CF83}">
  <sheetPr>
    <tabColor rgb="FFFFFF00"/>
  </sheetPr>
  <dimension ref="A1:L31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179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1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12" ht="15" customHeight="1" x14ac:dyDescent="0.25">
      <c r="A18" s="12" t="s">
        <v>17</v>
      </c>
      <c r="B18" s="13" t="s">
        <v>180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12" ht="15.75" customHeight="1" thickBot="1" x14ac:dyDescent="0.3">
      <c r="A19" s="12" t="s">
        <v>19</v>
      </c>
      <c r="B19" s="13" t="s">
        <v>181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12" ht="36.75" thickBot="1" x14ac:dyDescent="0.3">
      <c r="A20" s="16" t="s">
        <v>22</v>
      </c>
      <c r="B20" s="13">
        <v>4263410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1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1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1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12" x14ac:dyDescent="0.25">
      <c r="A25">
        <v>510</v>
      </c>
      <c r="B25" s="24">
        <v>4429614</v>
      </c>
      <c r="C25" t="s">
        <v>182</v>
      </c>
      <c r="D25" s="25">
        <v>21669</v>
      </c>
      <c r="E25" t="s">
        <v>183</v>
      </c>
      <c r="F25" s="25">
        <v>45838</v>
      </c>
      <c r="G25">
        <v>49180</v>
      </c>
      <c r="H25" t="s">
        <v>184</v>
      </c>
      <c r="I25" s="26">
        <v>220</v>
      </c>
      <c r="J25" s="26">
        <f>I25-K25</f>
        <v>111.23</v>
      </c>
      <c r="K25" s="27">
        <v>108.77</v>
      </c>
      <c r="L25" s="28"/>
    </row>
    <row r="26" spans="1:12" x14ac:dyDescent="0.25">
      <c r="A26">
        <v>510</v>
      </c>
      <c r="B26" s="24">
        <v>4429614</v>
      </c>
      <c r="C26" t="s">
        <v>182</v>
      </c>
      <c r="D26" s="25">
        <v>21669</v>
      </c>
      <c r="E26" t="s">
        <v>183</v>
      </c>
      <c r="F26" s="25">
        <v>45838</v>
      </c>
      <c r="G26">
        <v>7701226</v>
      </c>
      <c r="H26" t="s">
        <v>113</v>
      </c>
      <c r="I26" s="26">
        <v>190</v>
      </c>
      <c r="J26" s="26">
        <f>I26-K26</f>
        <v>97.78</v>
      </c>
      <c r="K26" s="27">
        <v>92.22</v>
      </c>
      <c r="L26" s="28"/>
    </row>
    <row r="27" spans="1:12" x14ac:dyDescent="0.25">
      <c r="A27">
        <v>510</v>
      </c>
      <c r="B27" s="24">
        <v>4429614</v>
      </c>
      <c r="C27" t="s">
        <v>182</v>
      </c>
      <c r="D27" s="25">
        <v>21669</v>
      </c>
      <c r="E27" t="s">
        <v>183</v>
      </c>
      <c r="F27" s="25">
        <v>45838</v>
      </c>
      <c r="G27">
        <v>99152</v>
      </c>
      <c r="H27" t="s">
        <v>112</v>
      </c>
      <c r="I27" s="26">
        <v>32</v>
      </c>
      <c r="J27" s="26">
        <f>I27-K27</f>
        <v>15.98</v>
      </c>
      <c r="K27" s="27">
        <v>16.02</v>
      </c>
      <c r="L27" s="28"/>
    </row>
    <row r="28" spans="1:12" x14ac:dyDescent="0.25">
      <c r="A28">
        <v>510</v>
      </c>
      <c r="B28" s="24">
        <v>4428794</v>
      </c>
      <c r="C28" t="s">
        <v>182</v>
      </c>
      <c r="D28" s="25">
        <v>21669</v>
      </c>
      <c r="E28" t="s">
        <v>114</v>
      </c>
      <c r="F28" s="25">
        <v>45838</v>
      </c>
      <c r="G28">
        <v>8830726</v>
      </c>
      <c r="H28" t="s">
        <v>116</v>
      </c>
      <c r="I28" s="26">
        <v>217</v>
      </c>
      <c r="J28" s="26">
        <f>I28-K28</f>
        <v>110.73</v>
      </c>
      <c r="K28" s="27">
        <v>106.27</v>
      </c>
      <c r="L28" s="28"/>
    </row>
    <row r="29" spans="1:12" x14ac:dyDescent="0.25">
      <c r="A29">
        <v>84</v>
      </c>
      <c r="B29" s="24">
        <v>6717672</v>
      </c>
      <c r="C29" t="s">
        <v>185</v>
      </c>
      <c r="D29" s="25">
        <v>28641</v>
      </c>
      <c r="E29" t="s">
        <v>45</v>
      </c>
      <c r="F29" s="25">
        <v>45814</v>
      </c>
      <c r="G29">
        <v>93010</v>
      </c>
      <c r="H29" t="s">
        <v>46</v>
      </c>
      <c r="I29" s="26">
        <v>22</v>
      </c>
      <c r="J29" s="26">
        <f>I29-K29</f>
        <v>11.26</v>
      </c>
      <c r="K29" s="27">
        <v>10.74</v>
      </c>
      <c r="L29" s="28"/>
    </row>
    <row r="30" spans="1:12" ht="15.75" thickBo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30"/>
    </row>
    <row r="31" spans="1:12" ht="16.5" thickTop="1" x14ac:dyDescent="0.25">
      <c r="A31" s="69" t="s">
        <v>48</v>
      </c>
      <c r="B31" s="69"/>
      <c r="C31" s="70"/>
      <c r="D31" s="70"/>
      <c r="E31" s="70"/>
      <c r="F31" s="70"/>
      <c r="G31" s="33"/>
      <c r="H31" s="33"/>
      <c r="I31" s="33"/>
      <c r="J31" s="33"/>
      <c r="K31" s="34">
        <f>SUM(K25:K29)</f>
        <v>334.02000000000004</v>
      </c>
      <c r="L31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0:K30"/>
    <mergeCell ref="A31:B31"/>
    <mergeCell ref="C31:D31"/>
    <mergeCell ref="E31:F31"/>
    <mergeCell ref="G23:G24"/>
    <mergeCell ref="H23:H24"/>
    <mergeCell ref="A30:B30"/>
    <mergeCell ref="C30:D30"/>
    <mergeCell ref="E30:F30"/>
    <mergeCell ref="G30:I30"/>
    <mergeCell ref="I23:I24"/>
    <mergeCell ref="J23:J24"/>
    <mergeCell ref="K23:K24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6847-766C-4573-993E-8068E2F25B48}">
  <sheetPr>
    <tabColor rgb="FFFFFF00"/>
  </sheetPr>
  <dimension ref="A1:V30"/>
  <sheetViews>
    <sheetView topLeftCell="A10" workbookViewId="0">
      <selection activeCell="B18" sqref="B18:B20"/>
    </sheetView>
  </sheetViews>
  <sheetFormatPr defaultRowHeight="15" x14ac:dyDescent="0.25"/>
  <cols>
    <col min="1" max="1" width="17" customWidth="1"/>
    <col min="3" max="3" width="10.5703125" customWidth="1"/>
    <col min="4" max="4" width="11.285156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186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187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188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4261220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510</v>
      </c>
      <c r="B25" s="24">
        <v>4411253</v>
      </c>
      <c r="C25" t="s">
        <v>189</v>
      </c>
      <c r="D25" s="25">
        <v>25159</v>
      </c>
      <c r="E25" t="s">
        <v>190</v>
      </c>
      <c r="F25" s="25">
        <v>45828</v>
      </c>
      <c r="G25">
        <v>7126026</v>
      </c>
      <c r="H25" t="s">
        <v>41</v>
      </c>
      <c r="I25" s="26">
        <v>160</v>
      </c>
      <c r="J25" s="26">
        <f>I25-K25</f>
        <v>86.56</v>
      </c>
      <c r="K25" s="27">
        <v>73.44</v>
      </c>
      <c r="L25" s="28"/>
    </row>
    <row r="26" spans="1:22" x14ac:dyDescent="0.25">
      <c r="A26">
        <v>510</v>
      </c>
      <c r="B26" s="24">
        <v>4411253</v>
      </c>
      <c r="C26" t="s">
        <v>189</v>
      </c>
      <c r="D26" s="25">
        <v>25159</v>
      </c>
      <c r="E26" t="s">
        <v>190</v>
      </c>
      <c r="F26" s="25">
        <v>45828</v>
      </c>
      <c r="G26">
        <v>7417726</v>
      </c>
      <c r="H26" t="s">
        <v>42</v>
      </c>
      <c r="I26" s="26">
        <v>234</v>
      </c>
      <c r="J26" s="26">
        <f>I26-K26</f>
        <v>118.57</v>
      </c>
      <c r="K26" s="27">
        <v>115.43</v>
      </c>
      <c r="L26" s="28"/>
    </row>
    <row r="27" spans="1:22" x14ac:dyDescent="0.25">
      <c r="A27">
        <v>510</v>
      </c>
      <c r="B27" s="24">
        <v>4390908</v>
      </c>
      <c r="C27" t="s">
        <v>191</v>
      </c>
      <c r="D27" s="25">
        <v>18346</v>
      </c>
      <c r="E27" t="s">
        <v>55</v>
      </c>
      <c r="F27" s="25">
        <v>45818</v>
      </c>
      <c r="G27">
        <v>7126026</v>
      </c>
      <c r="H27" t="s">
        <v>41</v>
      </c>
      <c r="I27" s="26">
        <v>160</v>
      </c>
      <c r="J27" s="26">
        <f>I27-K27</f>
        <v>86.56</v>
      </c>
      <c r="K27" s="27">
        <v>73.44</v>
      </c>
      <c r="L27" s="28"/>
    </row>
    <row r="28" spans="1:22" x14ac:dyDescent="0.25">
      <c r="A28">
        <v>510</v>
      </c>
      <c r="B28" s="24">
        <v>4390908</v>
      </c>
      <c r="C28" t="s">
        <v>191</v>
      </c>
      <c r="D28" s="25">
        <v>18346</v>
      </c>
      <c r="E28" t="s">
        <v>55</v>
      </c>
      <c r="F28" s="25">
        <v>45818</v>
      </c>
      <c r="G28">
        <v>7417726</v>
      </c>
      <c r="H28" t="s">
        <v>42</v>
      </c>
      <c r="I28" s="26">
        <v>234</v>
      </c>
      <c r="J28" s="26">
        <f>I28-K28</f>
        <v>118.57</v>
      </c>
      <c r="K28" s="27">
        <v>115.43</v>
      </c>
      <c r="L28" s="28"/>
    </row>
    <row r="29" spans="1:2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2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SUM(K25:K28)</f>
        <v>377.74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BCC2-AA2C-4814-8F13-85F8BA5F4D9B}">
  <sheetPr>
    <tabColor rgb="FFFFFF00"/>
  </sheetPr>
  <dimension ref="A1:V30"/>
  <sheetViews>
    <sheetView topLeftCell="A12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192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193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194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4273180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84</v>
      </c>
      <c r="B25" s="24">
        <v>6678671</v>
      </c>
      <c r="C25" t="s">
        <v>195</v>
      </c>
      <c r="D25" s="25">
        <v>16543</v>
      </c>
      <c r="E25" t="s">
        <v>196</v>
      </c>
      <c r="F25" s="25">
        <v>45798</v>
      </c>
      <c r="G25">
        <v>71260</v>
      </c>
      <c r="H25" t="s">
        <v>41</v>
      </c>
      <c r="I25" s="26">
        <v>499</v>
      </c>
      <c r="J25" s="26">
        <f>I25-K25</f>
        <v>273.77</v>
      </c>
      <c r="K25" s="27">
        <v>225.23</v>
      </c>
      <c r="L25" s="28"/>
    </row>
    <row r="26" spans="1:22" x14ac:dyDescent="0.25">
      <c r="A26">
        <v>84</v>
      </c>
      <c r="B26" s="24">
        <v>6678671</v>
      </c>
      <c r="C26" t="s">
        <v>195</v>
      </c>
      <c r="D26" s="25">
        <v>16543</v>
      </c>
      <c r="E26" t="s">
        <v>196</v>
      </c>
      <c r="F26" s="25">
        <v>45798</v>
      </c>
      <c r="G26" t="s">
        <v>70</v>
      </c>
      <c r="H26" t="s">
        <v>71</v>
      </c>
      <c r="I26" s="26">
        <v>32</v>
      </c>
      <c r="J26" s="26">
        <f>I26-K26</f>
        <v>30.4</v>
      </c>
      <c r="K26" s="27">
        <v>1.6</v>
      </c>
      <c r="L26" s="28"/>
    </row>
    <row r="27" spans="1:22" x14ac:dyDescent="0.25">
      <c r="A27">
        <v>84</v>
      </c>
      <c r="B27" s="24">
        <v>6678671</v>
      </c>
      <c r="C27" t="s">
        <v>195</v>
      </c>
      <c r="D27" s="25">
        <v>16543</v>
      </c>
      <c r="E27" t="s">
        <v>196</v>
      </c>
      <c r="F27" s="25">
        <v>45798</v>
      </c>
      <c r="G27">
        <v>74177</v>
      </c>
      <c r="H27" t="s">
        <v>42</v>
      </c>
      <c r="I27" s="26">
        <v>831</v>
      </c>
      <c r="J27" s="26">
        <f>I27-K27</f>
        <v>781.12</v>
      </c>
      <c r="K27" s="27">
        <v>49.88</v>
      </c>
      <c r="L27" s="28"/>
    </row>
    <row r="28" spans="1:2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2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2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276.70999999999998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7FE8-FFEA-432D-9D75-8C987BFB8317}">
  <sheetPr>
    <tabColor rgb="FFFFFF00"/>
  </sheetPr>
  <dimension ref="A1:V34"/>
  <sheetViews>
    <sheetView topLeftCell="A15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  <col min="11" max="11" width="11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197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198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199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4269940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84</v>
      </c>
      <c r="B25" s="24">
        <v>6754056</v>
      </c>
      <c r="C25" t="s">
        <v>200</v>
      </c>
      <c r="D25" s="25">
        <v>17645</v>
      </c>
      <c r="E25" t="s">
        <v>72</v>
      </c>
      <c r="F25" s="25">
        <v>45824</v>
      </c>
      <c r="G25">
        <v>7830626</v>
      </c>
      <c r="H25" t="s">
        <v>156</v>
      </c>
      <c r="I25" s="26">
        <v>110</v>
      </c>
      <c r="J25" s="26">
        <f t="shared" ref="J25:J32" si="0">I25-K25</f>
        <v>56.7</v>
      </c>
      <c r="K25" s="27">
        <v>53.3</v>
      </c>
      <c r="L25" s="28"/>
    </row>
    <row r="26" spans="1:22" x14ac:dyDescent="0.25">
      <c r="A26">
        <v>84</v>
      </c>
      <c r="B26" s="24">
        <v>6754059</v>
      </c>
      <c r="C26" t="s">
        <v>200</v>
      </c>
      <c r="D26" s="25">
        <v>17645</v>
      </c>
      <c r="E26" t="s">
        <v>55</v>
      </c>
      <c r="F26" s="25">
        <v>45824</v>
      </c>
      <c r="G26">
        <v>7126026</v>
      </c>
      <c r="H26" t="s">
        <v>41</v>
      </c>
      <c r="I26" s="26">
        <v>160</v>
      </c>
      <c r="J26" s="26">
        <f t="shared" si="0"/>
        <v>86.56</v>
      </c>
      <c r="K26" s="27">
        <v>73.44</v>
      </c>
      <c r="L26" s="28"/>
    </row>
    <row r="27" spans="1:22" x14ac:dyDescent="0.25">
      <c r="A27">
        <v>84</v>
      </c>
      <c r="B27" s="24">
        <v>6754059</v>
      </c>
      <c r="C27" t="s">
        <v>200</v>
      </c>
      <c r="D27" s="25">
        <v>17645</v>
      </c>
      <c r="E27" t="s">
        <v>55</v>
      </c>
      <c r="F27" s="25">
        <v>45824</v>
      </c>
      <c r="G27">
        <v>71260</v>
      </c>
      <c r="H27" t="s">
        <v>41</v>
      </c>
      <c r="I27" s="26">
        <v>339</v>
      </c>
      <c r="J27" s="26">
        <f t="shared" si="0"/>
        <v>113.77000000000001</v>
      </c>
      <c r="K27" s="27">
        <v>225.23</v>
      </c>
      <c r="L27" s="28"/>
    </row>
    <row r="28" spans="1:22" x14ac:dyDescent="0.25">
      <c r="A28">
        <v>84</v>
      </c>
      <c r="B28" s="24">
        <v>6754059</v>
      </c>
      <c r="C28" t="s">
        <v>200</v>
      </c>
      <c r="D28" s="25">
        <v>17645</v>
      </c>
      <c r="E28" t="s">
        <v>55</v>
      </c>
      <c r="F28" s="25">
        <v>45824</v>
      </c>
      <c r="G28">
        <v>74177</v>
      </c>
      <c r="H28" t="s">
        <v>42</v>
      </c>
      <c r="I28" s="26">
        <v>598</v>
      </c>
      <c r="J28" s="26">
        <f t="shared" si="0"/>
        <v>190.83999999999997</v>
      </c>
      <c r="K28" s="27">
        <v>407.16</v>
      </c>
      <c r="L28" s="28"/>
    </row>
    <row r="29" spans="1:22" x14ac:dyDescent="0.25">
      <c r="A29">
        <v>84</v>
      </c>
      <c r="B29" s="24">
        <v>6754059</v>
      </c>
      <c r="C29" t="s">
        <v>200</v>
      </c>
      <c r="D29" s="25">
        <v>17645</v>
      </c>
      <c r="E29" t="s">
        <v>55</v>
      </c>
      <c r="F29" s="25">
        <v>45824</v>
      </c>
      <c r="G29" t="s">
        <v>70</v>
      </c>
      <c r="H29" t="s">
        <v>71</v>
      </c>
      <c r="I29" s="26">
        <v>32</v>
      </c>
      <c r="J29" s="26">
        <f t="shared" si="0"/>
        <v>30.4</v>
      </c>
      <c r="K29" s="27">
        <v>1.6</v>
      </c>
      <c r="L29" s="28"/>
    </row>
    <row r="30" spans="1:22" x14ac:dyDescent="0.25">
      <c r="A30">
        <v>84</v>
      </c>
      <c r="B30" s="24">
        <v>6754059</v>
      </c>
      <c r="C30" t="s">
        <v>200</v>
      </c>
      <c r="D30" s="25">
        <v>17645</v>
      </c>
      <c r="E30" t="s">
        <v>55</v>
      </c>
      <c r="F30" s="25">
        <v>45824</v>
      </c>
      <c r="G30">
        <v>7417726</v>
      </c>
      <c r="H30" t="s">
        <v>42</v>
      </c>
      <c r="I30" s="26">
        <v>234</v>
      </c>
      <c r="J30" s="26">
        <f t="shared" si="0"/>
        <v>118.57</v>
      </c>
      <c r="K30" s="27">
        <v>115.43</v>
      </c>
      <c r="L30" s="28"/>
    </row>
    <row r="31" spans="1:22" x14ac:dyDescent="0.25">
      <c r="A31">
        <v>84</v>
      </c>
      <c r="B31" s="24">
        <v>6754069</v>
      </c>
      <c r="C31" t="s">
        <v>200</v>
      </c>
      <c r="D31" s="25">
        <v>17645</v>
      </c>
      <c r="E31" t="s">
        <v>72</v>
      </c>
      <c r="F31" s="25">
        <v>45824</v>
      </c>
      <c r="G31">
        <v>78306</v>
      </c>
      <c r="H31" t="s">
        <v>156</v>
      </c>
      <c r="I31" s="26">
        <v>669</v>
      </c>
      <c r="J31" s="26">
        <f t="shared" si="0"/>
        <v>318.77999999999997</v>
      </c>
      <c r="K31" s="27">
        <v>350.22</v>
      </c>
      <c r="L31" s="28"/>
    </row>
    <row r="32" spans="1:22" x14ac:dyDescent="0.25">
      <c r="A32">
        <v>84</v>
      </c>
      <c r="B32" s="24">
        <v>6754069</v>
      </c>
      <c r="C32" t="s">
        <v>200</v>
      </c>
      <c r="D32" s="25">
        <v>17645</v>
      </c>
      <c r="E32" t="s">
        <v>72</v>
      </c>
      <c r="F32" s="25">
        <v>45824</v>
      </c>
      <c r="G32" t="s">
        <v>201</v>
      </c>
      <c r="H32" t="s">
        <v>202</v>
      </c>
      <c r="I32" s="26">
        <v>37.1</v>
      </c>
      <c r="J32" s="26">
        <f t="shared" si="0"/>
        <v>16.350000000000001</v>
      </c>
      <c r="K32" s="27">
        <v>20.75</v>
      </c>
      <c r="L32" s="28"/>
    </row>
    <row r="33" spans="1:12" ht="15.75" thickBot="1" x14ac:dyDescent="0.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30"/>
    </row>
    <row r="34" spans="1:12" ht="16.5" thickTop="1" x14ac:dyDescent="0.25">
      <c r="A34" s="69" t="s">
        <v>48</v>
      </c>
      <c r="B34" s="69"/>
      <c r="C34" s="70"/>
      <c r="D34" s="70"/>
      <c r="E34" s="70"/>
      <c r="F34" s="70"/>
      <c r="G34" s="33"/>
      <c r="H34" s="33"/>
      <c r="I34" s="47"/>
      <c r="J34" s="33"/>
      <c r="K34" s="34">
        <f>SUM(K25:K32)</f>
        <v>1247.1300000000001</v>
      </c>
      <c r="L34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33:K33"/>
    <mergeCell ref="A34:B34"/>
    <mergeCell ref="C34:D34"/>
    <mergeCell ref="E34:F34"/>
    <mergeCell ref="G23:G24"/>
    <mergeCell ref="H23:H24"/>
    <mergeCell ref="A33:B33"/>
    <mergeCell ref="C33:D33"/>
    <mergeCell ref="E33:F33"/>
    <mergeCell ref="G33:I33"/>
    <mergeCell ref="I23:I24"/>
    <mergeCell ref="J23:J24"/>
    <mergeCell ref="K23:K2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AAA8-1323-4768-AEE7-69FA0636B8B9}">
  <sheetPr>
    <tabColor rgb="FFFFFF00"/>
  </sheetPr>
  <dimension ref="A1:V30"/>
  <sheetViews>
    <sheetView topLeftCell="A20" workbookViewId="0">
      <selection activeCell="B18" sqref="B18:B20"/>
    </sheetView>
  </sheetViews>
  <sheetFormatPr defaultRowHeight="15" x14ac:dyDescent="0.25"/>
  <cols>
    <col min="1" max="1" width="17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203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x14ac:dyDescent="0.25">
      <c r="A18" s="12" t="s">
        <v>17</v>
      </c>
      <c r="B18" s="13" t="s">
        <v>204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customHeight="1" thickBot="1" x14ac:dyDescent="0.3">
      <c r="A19" s="12" t="s">
        <v>19</v>
      </c>
      <c r="B19" s="13" t="s">
        <v>205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4269380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26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ht="22.5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510</v>
      </c>
      <c r="B25" s="24">
        <v>4358518</v>
      </c>
      <c r="C25" t="s">
        <v>206</v>
      </c>
      <c r="D25" s="25">
        <v>21623</v>
      </c>
      <c r="E25" t="s">
        <v>207</v>
      </c>
      <c r="F25" s="25">
        <v>45777</v>
      </c>
      <c r="G25">
        <v>99215</v>
      </c>
      <c r="H25" t="s">
        <v>109</v>
      </c>
      <c r="I25" s="26">
        <v>444</v>
      </c>
      <c r="J25" s="26">
        <f t="shared" ref="J25:J27" si="0">I25-K25</f>
        <v>202.23</v>
      </c>
      <c r="K25" s="27">
        <v>241.77</v>
      </c>
      <c r="L25" s="28"/>
    </row>
    <row r="26" spans="1:22" x14ac:dyDescent="0.25">
      <c r="A26">
        <v>84</v>
      </c>
      <c r="B26" s="24">
        <v>6713732</v>
      </c>
      <c r="C26" t="s">
        <v>206</v>
      </c>
      <c r="D26" s="25">
        <v>21623</v>
      </c>
      <c r="E26" t="s">
        <v>45</v>
      </c>
      <c r="F26" s="25">
        <v>45812</v>
      </c>
      <c r="G26">
        <v>93010</v>
      </c>
      <c r="H26" t="s">
        <v>46</v>
      </c>
      <c r="I26" s="26">
        <v>22</v>
      </c>
      <c r="J26" s="26">
        <f t="shared" si="0"/>
        <v>11.26</v>
      </c>
      <c r="K26" s="27">
        <v>10.74</v>
      </c>
      <c r="L26" s="28"/>
    </row>
    <row r="27" spans="1:22" x14ac:dyDescent="0.25">
      <c r="A27">
        <v>84</v>
      </c>
      <c r="B27" s="24">
        <v>6713732</v>
      </c>
      <c r="C27" t="s">
        <v>206</v>
      </c>
      <c r="D27" s="25">
        <v>21623</v>
      </c>
      <c r="E27" t="s">
        <v>45</v>
      </c>
      <c r="F27" s="25">
        <v>45812</v>
      </c>
      <c r="G27">
        <v>9301076</v>
      </c>
      <c r="H27" t="s">
        <v>46</v>
      </c>
      <c r="I27" s="26">
        <v>22</v>
      </c>
      <c r="J27" s="26">
        <f t="shared" si="0"/>
        <v>11.26</v>
      </c>
      <c r="K27" s="27">
        <v>10.74</v>
      </c>
      <c r="L27" s="28"/>
    </row>
    <row r="28" spans="1:22" x14ac:dyDescent="0.25">
      <c r="A28" s="35"/>
      <c r="B28" s="36"/>
      <c r="C28" s="36"/>
      <c r="D28" s="36"/>
      <c r="E28" s="36"/>
      <c r="F28" s="36"/>
      <c r="G28" s="37"/>
      <c r="H28" s="36"/>
      <c r="I28" s="36"/>
      <c r="J28" s="36"/>
      <c r="K28" s="36"/>
      <c r="L28" s="28"/>
    </row>
    <row r="29" spans="1:22" ht="15.75" thickBot="1" x14ac:dyDescent="0.3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30"/>
    </row>
    <row r="30" spans="1:22" ht="16.5" thickTop="1" x14ac:dyDescent="0.25">
      <c r="A30" s="69" t="s">
        <v>48</v>
      </c>
      <c r="B30" s="69"/>
      <c r="C30" s="70"/>
      <c r="D30" s="70"/>
      <c r="E30" s="70"/>
      <c r="F30" s="70"/>
      <c r="G30" s="33"/>
      <c r="H30" s="33"/>
      <c r="I30" s="33"/>
      <c r="J30" s="33"/>
      <c r="K30" s="34">
        <f>SUM(K25:K27)</f>
        <v>263.25</v>
      </c>
      <c r="L30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9:K29"/>
    <mergeCell ref="A30:B30"/>
    <mergeCell ref="C30:D30"/>
    <mergeCell ref="E30:F30"/>
    <mergeCell ref="G23:G24"/>
    <mergeCell ref="H23:H24"/>
    <mergeCell ref="A29:B29"/>
    <mergeCell ref="C29:D29"/>
    <mergeCell ref="E29:F29"/>
    <mergeCell ref="G29:I29"/>
    <mergeCell ref="I23:I24"/>
    <mergeCell ref="J23:J24"/>
    <mergeCell ref="K23:K2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7FBF-00F5-4E0C-9136-0F1DAA870CEE}">
  <sheetPr>
    <tabColor rgb="FFFFFF00"/>
  </sheetPr>
  <dimension ref="A1:V29"/>
  <sheetViews>
    <sheetView topLeftCell="A10" workbookViewId="0">
      <selection activeCell="B18" sqref="B18:B20"/>
    </sheetView>
  </sheetViews>
  <sheetFormatPr defaultRowHeight="15" x14ac:dyDescent="0.25"/>
  <cols>
    <col min="1" max="1" width="17" customWidth="1"/>
    <col min="2" max="2" width="12.42578125" customWidth="1"/>
    <col min="6" max="6" width="12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x14ac:dyDescent="0.25">
      <c r="A2" s="1"/>
      <c r="B2" s="1"/>
      <c r="C2" s="1"/>
      <c r="D2" s="1"/>
      <c r="E2" s="1"/>
      <c r="F2" s="3" t="s">
        <v>0</v>
      </c>
      <c r="G2" s="59" t="s">
        <v>208</v>
      </c>
      <c r="H2" s="59"/>
      <c r="I2" s="59"/>
      <c r="J2" s="59"/>
      <c r="K2" s="2"/>
      <c r="L2" s="2"/>
    </row>
    <row r="3" spans="1:12" x14ac:dyDescent="0.25">
      <c r="A3" s="1"/>
      <c r="B3" s="1"/>
      <c r="C3" s="1"/>
      <c r="D3" s="1"/>
      <c r="E3" s="1"/>
      <c r="F3" s="1"/>
      <c r="G3" s="4"/>
      <c r="H3" s="4"/>
      <c r="I3" s="4"/>
      <c r="J3" s="2"/>
      <c r="K3" s="2"/>
      <c r="L3" s="2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</row>
    <row r="7" spans="1:12" x14ac:dyDescent="0.25">
      <c r="A7" s="3" t="s">
        <v>2</v>
      </c>
      <c r="B7" s="1"/>
      <c r="C7" s="1"/>
      <c r="D7" s="1"/>
      <c r="E7" s="1"/>
      <c r="F7" s="5" t="s">
        <v>3</v>
      </c>
      <c r="G7" s="1"/>
      <c r="H7" s="1"/>
      <c r="I7" s="1"/>
      <c r="J7" s="2"/>
      <c r="K7" s="2"/>
      <c r="L7" s="2"/>
    </row>
    <row r="8" spans="1:12" x14ac:dyDescent="0.25">
      <c r="A8" s="3" t="s">
        <v>4</v>
      </c>
      <c r="B8" s="1"/>
      <c r="C8" s="1"/>
      <c r="D8" s="1"/>
      <c r="E8" s="1"/>
      <c r="F8" s="3" t="s">
        <v>5</v>
      </c>
      <c r="G8" s="1"/>
      <c r="H8" s="1"/>
      <c r="I8" s="1"/>
      <c r="J8" s="2"/>
      <c r="K8" s="2"/>
      <c r="L8" s="2"/>
    </row>
    <row r="9" spans="1:12" x14ac:dyDescent="0.25">
      <c r="A9" s="3" t="s">
        <v>6</v>
      </c>
      <c r="B9" s="1"/>
      <c r="C9" s="1"/>
      <c r="D9" s="1"/>
      <c r="E9" s="1"/>
      <c r="F9" s="3" t="s">
        <v>7</v>
      </c>
      <c r="G9" s="1"/>
      <c r="H9" s="1"/>
      <c r="I9" s="1"/>
      <c r="J9" s="2"/>
      <c r="K9" s="2"/>
      <c r="L9" s="2"/>
    </row>
    <row r="10" spans="1:12" x14ac:dyDescent="0.25">
      <c r="A10" s="3" t="s">
        <v>8</v>
      </c>
      <c r="B10" s="1"/>
      <c r="C10" s="1"/>
      <c r="D10" s="1"/>
      <c r="E10" s="1"/>
      <c r="F10" s="4" t="s">
        <v>9</v>
      </c>
      <c r="G10" s="1"/>
      <c r="H10" s="1"/>
      <c r="I10" s="1"/>
      <c r="J10" s="2"/>
      <c r="K10" s="2"/>
      <c r="L10" s="2"/>
    </row>
    <row r="11" spans="1:12" x14ac:dyDescent="0.25">
      <c r="A11" s="3" t="s">
        <v>10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</row>
    <row r="12" spans="1:12" x14ac:dyDescent="0.25">
      <c r="A12" s="3" t="s">
        <v>11</v>
      </c>
      <c r="B12" s="1"/>
      <c r="C12" s="1"/>
      <c r="D12" s="1"/>
      <c r="E12" s="1"/>
      <c r="F12" s="4" t="s">
        <v>12</v>
      </c>
      <c r="G12" s="4" t="s">
        <v>13</v>
      </c>
      <c r="H12" s="4"/>
      <c r="I12" s="4"/>
      <c r="J12" s="2"/>
      <c r="K12" s="2"/>
      <c r="L12" s="2"/>
    </row>
    <row r="13" spans="1:12" ht="15.75" thickBot="1" x14ac:dyDescent="0.3">
      <c r="A13" s="3"/>
      <c r="B13" s="1"/>
      <c r="C13" s="1"/>
      <c r="D13" s="1"/>
      <c r="E13" s="4"/>
      <c r="F13" s="1"/>
      <c r="G13" s="1"/>
      <c r="H13" s="1"/>
      <c r="I13" s="1"/>
      <c r="J13" s="2"/>
      <c r="K13" s="2"/>
      <c r="L13" s="2"/>
    </row>
    <row r="14" spans="1:12" ht="15.75" thickBot="1" x14ac:dyDescent="0.3">
      <c r="A14" s="6"/>
      <c r="B14" s="1"/>
      <c r="C14" s="1"/>
      <c r="D14" s="1"/>
      <c r="E14" s="1"/>
      <c r="F14" s="60" t="s">
        <v>14</v>
      </c>
      <c r="G14" s="61"/>
      <c r="H14" s="7"/>
      <c r="I14" s="8" t="s">
        <v>15</v>
      </c>
      <c r="J14" s="9"/>
      <c r="K14" s="2"/>
      <c r="L14" s="2"/>
    </row>
    <row r="15" spans="1:12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Top="1" x14ac:dyDescent="0.25">
      <c r="A16" s="62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"/>
    </row>
    <row r="17" spans="1:22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2"/>
    </row>
    <row r="18" spans="1:22" ht="15" customHeight="1" x14ac:dyDescent="0.25">
      <c r="A18" s="12" t="s">
        <v>17</v>
      </c>
      <c r="B18" s="13" t="s">
        <v>209</v>
      </c>
      <c r="C18" s="13"/>
      <c r="D18" s="14"/>
      <c r="E18" s="1"/>
      <c r="F18" s="1"/>
      <c r="G18" s="1"/>
      <c r="H18" s="1"/>
      <c r="I18" s="1"/>
      <c r="J18" s="1"/>
      <c r="K18" s="1"/>
      <c r="L18" s="2"/>
    </row>
    <row r="19" spans="1:22" ht="15.75" thickBot="1" x14ac:dyDescent="0.3">
      <c r="A19" s="12" t="s">
        <v>19</v>
      </c>
      <c r="B19" s="13">
        <v>2108097176</v>
      </c>
      <c r="C19" s="13"/>
      <c r="D19" s="14"/>
      <c r="E19" s="15" t="s">
        <v>21</v>
      </c>
      <c r="F19" s="15"/>
      <c r="G19" s="16"/>
      <c r="H19" s="16"/>
      <c r="I19" s="16"/>
      <c r="J19" s="12"/>
      <c r="K19" s="12"/>
      <c r="L19" s="2"/>
    </row>
    <row r="20" spans="1:22" ht="36.75" thickBot="1" x14ac:dyDescent="0.3">
      <c r="A20" s="16" t="s">
        <v>22</v>
      </c>
      <c r="B20" s="13">
        <v>4257580</v>
      </c>
      <c r="C20" s="13"/>
      <c r="D20" s="16"/>
      <c r="E20" s="17"/>
      <c r="F20" s="17"/>
      <c r="G20" s="16"/>
      <c r="H20" s="16"/>
      <c r="I20" s="18" t="s">
        <v>23</v>
      </c>
      <c r="J20" s="71" t="s">
        <v>24</v>
      </c>
      <c r="K20" s="65"/>
      <c r="L20" s="19"/>
    </row>
    <row r="21" spans="1:22" x14ac:dyDescent="0.25">
      <c r="A21" s="12" t="s">
        <v>25</v>
      </c>
      <c r="B21" s="20" t="s">
        <v>133</v>
      </c>
      <c r="C21" s="17"/>
      <c r="D21" s="14"/>
      <c r="E21" s="21"/>
      <c r="F21" s="14"/>
      <c r="G21" s="12"/>
      <c r="H21" s="12"/>
      <c r="I21" s="12"/>
      <c r="J21" s="12"/>
      <c r="K21" s="12"/>
      <c r="L21" s="48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2"/>
    </row>
    <row r="23" spans="1:22" x14ac:dyDescent="0.25">
      <c r="A23" s="66" t="s">
        <v>27</v>
      </c>
      <c r="B23" s="22" t="s">
        <v>28</v>
      </c>
      <c r="C23" s="66" t="s">
        <v>29</v>
      </c>
      <c r="D23" s="66" t="s">
        <v>30</v>
      </c>
      <c r="E23" s="66" t="s">
        <v>31</v>
      </c>
      <c r="F23" s="66" t="s">
        <v>32</v>
      </c>
      <c r="G23" s="66" t="s">
        <v>33</v>
      </c>
      <c r="H23" s="66" t="s">
        <v>34</v>
      </c>
      <c r="I23" s="66" t="s">
        <v>35</v>
      </c>
      <c r="J23" s="66" t="s">
        <v>36</v>
      </c>
      <c r="K23" s="66" t="s">
        <v>37</v>
      </c>
      <c r="L23" s="58"/>
    </row>
    <row r="24" spans="1:22" x14ac:dyDescent="0.25">
      <c r="A24" s="67"/>
      <c r="B24" s="23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58"/>
    </row>
    <row r="25" spans="1:22" x14ac:dyDescent="0.25">
      <c r="A25">
        <v>84</v>
      </c>
      <c r="B25" s="24">
        <v>6758235</v>
      </c>
      <c r="C25" t="s">
        <v>210</v>
      </c>
      <c r="D25" s="25">
        <v>29532</v>
      </c>
      <c r="E25" t="s">
        <v>45</v>
      </c>
      <c r="F25" s="25">
        <v>45828</v>
      </c>
      <c r="G25">
        <v>93010</v>
      </c>
      <c r="H25" t="s">
        <v>46</v>
      </c>
      <c r="I25" s="26">
        <v>22</v>
      </c>
      <c r="J25" s="26">
        <f t="shared" ref="J25" si="0">I25-K25</f>
        <v>14.33</v>
      </c>
      <c r="K25" s="27">
        <v>7.67</v>
      </c>
      <c r="L25" s="28"/>
    </row>
    <row r="26" spans="1:22" x14ac:dyDescent="0.25">
      <c r="A26" s="35"/>
      <c r="B26" s="36"/>
      <c r="C26" s="36"/>
      <c r="D26" s="36"/>
      <c r="E26" s="36"/>
      <c r="F26" s="36"/>
      <c r="G26" s="37"/>
      <c r="H26" s="36"/>
      <c r="I26" s="36"/>
      <c r="J26" s="36"/>
      <c r="K26" s="36"/>
      <c r="L26" s="28"/>
    </row>
    <row r="27" spans="1:22" x14ac:dyDescent="0.25">
      <c r="A27" s="35"/>
      <c r="B27" s="36"/>
      <c r="C27" s="36"/>
      <c r="D27" s="36"/>
      <c r="E27" s="36"/>
      <c r="F27" s="36"/>
      <c r="G27" s="37"/>
      <c r="H27" s="36"/>
      <c r="I27" s="36"/>
      <c r="J27" s="36"/>
      <c r="K27" s="36"/>
      <c r="L27" s="28"/>
    </row>
    <row r="28" spans="1:22" ht="15.75" thickBot="1" x14ac:dyDescent="0.3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30"/>
    </row>
    <row r="29" spans="1:22" ht="16.5" thickTop="1" x14ac:dyDescent="0.25">
      <c r="A29" s="69" t="s">
        <v>48</v>
      </c>
      <c r="B29" s="69"/>
      <c r="C29" s="70"/>
      <c r="D29" s="70"/>
      <c r="E29" s="70"/>
      <c r="F29" s="70"/>
      <c r="G29" s="33"/>
      <c r="H29" s="33"/>
      <c r="I29" s="33"/>
      <c r="J29" s="33"/>
      <c r="K29" s="38">
        <v>7.67</v>
      </c>
      <c r="L29" s="33"/>
    </row>
  </sheetData>
  <mergeCells count="24">
    <mergeCell ref="L23:L24"/>
    <mergeCell ref="G2:J2"/>
    <mergeCell ref="F14:G14"/>
    <mergeCell ref="A16:K16"/>
    <mergeCell ref="A17:K17"/>
    <mergeCell ref="J20:K20"/>
    <mergeCell ref="A23:A24"/>
    <mergeCell ref="C23:C24"/>
    <mergeCell ref="D23:D24"/>
    <mergeCell ref="E23:E24"/>
    <mergeCell ref="F23:F24"/>
    <mergeCell ref="J28:K28"/>
    <mergeCell ref="A29:B29"/>
    <mergeCell ref="C29:D29"/>
    <mergeCell ref="E29:F29"/>
    <mergeCell ref="G23:G24"/>
    <mergeCell ref="H23:H24"/>
    <mergeCell ref="A28:B28"/>
    <mergeCell ref="C28:D28"/>
    <mergeCell ref="E28:F28"/>
    <mergeCell ref="G28:I28"/>
    <mergeCell ref="I23:I24"/>
    <mergeCell ref="J23:J24"/>
    <mergeCell ref="K23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1463 0001</vt:lpstr>
      <vt:lpstr>ABKCAPROT85</vt:lpstr>
      <vt:lpstr>AV 299 23 301</vt:lpstr>
      <vt:lpstr>BCIMT04</vt:lpstr>
      <vt:lpstr>BGB 16673</vt:lpstr>
      <vt:lpstr>CA224047</vt:lpstr>
      <vt:lpstr>CL04ORY1001</vt:lpstr>
      <vt:lpstr>D361DC00001</vt:lpstr>
      <vt:lpstr>DEKDKK1P207</vt:lpstr>
      <vt:lpstr>EIK1003 001 IMP1734 101</vt:lpstr>
      <vt:lpstr>FLM6774201</vt:lpstr>
      <vt:lpstr>HC366RCC2311</vt:lpstr>
      <vt:lpstr>HCRN BRE20 468</vt:lpstr>
      <vt:lpstr>IMMU13206</vt:lpstr>
      <vt:lpstr>INT231401</vt:lpstr>
      <vt:lpstr>M22716</vt:lpstr>
      <vt:lpstr>MK3475U06</vt:lpstr>
      <vt:lpstr>MK568400</vt:lpstr>
      <vt:lpstr>NUV86801</vt:lpstr>
      <vt:lpstr>PRISM-1</vt:lpstr>
      <vt:lpstr>R1979HM2298</vt:lpstr>
      <vt:lpstr>R5678ONC1879</vt:lpstr>
      <vt:lpstr>RBS24181001</vt:lpstr>
      <vt:lpstr>RLY2608101</vt:lpstr>
      <vt:lpstr>SGNDV004</vt:lpstr>
      <vt:lpstr>SMX 22 002</vt:lpstr>
      <vt:lpstr>VX0120</vt:lpstr>
      <vt:lpstr>XL184 IST103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Keefe, Caitlyn Leigh - (caitlynkeefe124)</dc:creator>
  <cp:lastModifiedBy>Kristi Lenae Davis</cp:lastModifiedBy>
  <dcterms:created xsi:type="dcterms:W3CDTF">2025-07-17T22:34:56Z</dcterms:created>
  <dcterms:modified xsi:type="dcterms:W3CDTF">2026-01-22T23:32:42Z</dcterms:modified>
</cp:coreProperties>
</file>