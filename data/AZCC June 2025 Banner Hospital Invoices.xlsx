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1959482246263/WOPIServiceId_TP_BOX_2/WOPIUserId_-/"/>
    </mc:Choice>
  </mc:AlternateContent>
  <xr:revisionPtr revIDLastSave="2" documentId="13_ncr:1_{B6D220EB-2B78-488F-A3C4-BD86900B83B6}" xr6:coauthVersionLast="47" xr6:coauthVersionMax="47" xr10:uidLastSave="{592592EE-0EF5-48F3-A0F8-2D05972A8800}"/>
  <bookViews>
    <workbookView xWindow="28680" yWindow="2805" windowWidth="29040" windowHeight="15720" firstSheet="6" activeTab="13" xr2:uid="{1474F6E2-8842-497A-8F01-6F92ED9883F8}"/>
  </bookViews>
  <sheets>
    <sheet name="1463-0001" sheetId="1" r:id="rId1"/>
    <sheet name="64407564MMY300" sheetId="2" r:id="rId2"/>
    <sheet name="ABK-CA-PROT-85" sheetId="3" r:id="rId3"/>
    <sheet name="AV-299-23-301" sheetId="4" r:id="rId4"/>
    <sheet name="BC-IMT-04" sheetId="5" r:id="rId5"/>
    <sheet name="BGB-16673" sheetId="6" r:id="rId6"/>
    <sheet name="CL04-ORY-1001" sheetId="7" r:id="rId7"/>
    <sheet name="D361DC00001 C" sheetId="8" r:id="rId8"/>
    <sheet name="D9103C00001" sheetId="9" r:id="rId9"/>
    <sheet name="DEK-DKK1-P207" sheetId="10" r:id="rId10"/>
    <sheet name="EA6192" sheetId="11" r:id="rId11"/>
    <sheet name="FLM-6774-201" sheetId="12" r:id="rId12"/>
    <sheet name="GOG-3041" sheetId="13" r:id="rId13"/>
    <sheet name="HC366-RCC2311" sheetId="14" r:id="rId14"/>
    <sheet name="HCRN BRE20-468" sheetId="15" r:id="rId15"/>
    <sheet name="IMMU-132-06" sheetId="16" r:id="rId16"/>
    <sheet name="M20-431" sheetId="17" r:id="rId17"/>
    <sheet name="MK3475-U06" sheetId="18" r:id="rId18"/>
    <sheet name="MK-5684-004" sheetId="19" r:id="rId19"/>
    <sheet name="mRNA-4157-P201" sheetId="20" r:id="rId20"/>
    <sheet name="OP-1250-301; O" sheetId="21" r:id="rId21"/>
    <sheet name="PRISM-1" sheetId="22" r:id="rId22"/>
    <sheet name="R5678-ONC-1879" sheetId="23" r:id="rId23"/>
    <sheet name="RBS2418-1001" sheetId="24" r:id="rId24"/>
    <sheet name="RLY-2608-101" sheetId="25" r:id="rId25"/>
    <sheet name="SMX 22-002" sheetId="26" r:id="rId26"/>
    <sheet name="VX0120" sheetId="27" r:id="rId27"/>
    <sheet name="XL184-IST103" sheetId="28" r:id="rId28"/>
  </sheets>
  <definedNames>
    <definedName name="_xlnm._FilterDatabase" localSheetId="0" hidden="1">'1463-0001'!$A$24:$L$77</definedName>
    <definedName name="_xlnm._FilterDatabase" localSheetId="7" hidden="1">'D361DC00001 C'!$A$24:$O$56</definedName>
    <definedName name="_xlnm._FilterDatabase" localSheetId="11" hidden="1">'FLM-6774-201'!$A$24:$L$44</definedName>
    <definedName name="_xlnm._FilterDatabase" localSheetId="13" hidden="1">'HC366-RCC2311'!$A$24:$L$55</definedName>
    <definedName name="_xlnm.Print_Area" localSheetId="0">'1463-0001'!$B$1:$L$81</definedName>
    <definedName name="_xlnm.Print_Area" localSheetId="1">'64407564MMY300'!$B$1:$L$30</definedName>
    <definedName name="_xlnm.Print_Area" localSheetId="2">'ABK-CA-PROT-85'!$B$1:$L$31</definedName>
    <definedName name="_xlnm.Print_Area" localSheetId="3">'AV-299-23-301'!$B$1:$L$30</definedName>
    <definedName name="_xlnm.Print_Area" localSheetId="4">'BC-IMT-04'!$A$1:$L$44</definedName>
    <definedName name="_xlnm.Print_Area" localSheetId="5">'BGB-16673'!$B$1:$L$44</definedName>
    <definedName name="_xlnm.Print_Area" localSheetId="6">'CL04-ORY-1001'!$B$1:$L$35</definedName>
    <definedName name="_xlnm.Print_Area" localSheetId="7">'D361DC00001 C'!$A$1:$L$60</definedName>
    <definedName name="_xlnm.Print_Area" localSheetId="8">D9103C00001!$A$1:$L$34</definedName>
    <definedName name="_xlnm.Print_Area" localSheetId="9">'DEK-DKK1-P207'!$B$1:$L$31</definedName>
    <definedName name="_xlnm.Print_Area" localSheetId="10">'EA6192'!$A$1:$L$29</definedName>
    <definedName name="_xlnm.Print_Area" localSheetId="11">'FLM-6774-201'!$A$1:$L$48</definedName>
    <definedName name="_xlnm.Print_Area" localSheetId="12">'GOG-3041'!$B$1:$L$31</definedName>
    <definedName name="_xlnm.Print_Area" localSheetId="13">'HC366-RCC2311'!$A$1:$L$59</definedName>
    <definedName name="_xlnm.Print_Area" localSheetId="14">'HCRN BRE20-468'!$B$1:$L$31</definedName>
    <definedName name="_xlnm.Print_Area" localSheetId="15">'IMMU-132-06'!$A$1:$L$40</definedName>
    <definedName name="_xlnm.Print_Area" localSheetId="16">'M20-431'!$A$1:$L$32</definedName>
    <definedName name="_xlnm.Print_Area" localSheetId="17">'MK3475-U06'!$A$1:$L$38</definedName>
    <definedName name="_xlnm.Print_Area" localSheetId="18">'MK-5684-004'!$A$1:$L$48</definedName>
    <definedName name="_xlnm.Print_Area" localSheetId="19">'mRNA-4157-P201'!$A$1:$L$52</definedName>
    <definedName name="_xlnm.Print_Area" localSheetId="20">'OP-1250-301; O'!$B$1:$L$32</definedName>
    <definedName name="_xlnm.Print_Area" localSheetId="21">'PRISM-1'!$A$1:$L$34</definedName>
    <definedName name="_xlnm.Print_Area" localSheetId="22">'R5678-ONC-1879'!$B$1:$L$30</definedName>
    <definedName name="_xlnm.Print_Area" localSheetId="23">'RBS2418-1001'!$B$1:$L$52</definedName>
    <definedName name="_xlnm.Print_Area" localSheetId="24">'RLY-2608-101'!$A$1:$L$36</definedName>
    <definedName name="_xlnm.Print_Area" localSheetId="25">'SMX 22-002'!$B$1:$L$31</definedName>
    <definedName name="_xlnm.Print_Area" localSheetId="26">'VX0120'!$A$1:$L$52</definedName>
    <definedName name="_xlnm.Print_Area" localSheetId="27">'XL184-IST103'!$A$1:$L$38</definedName>
    <definedName name="_xlnm.Print_Titles" localSheetId="0">'1463-0001'!$24:$24</definedName>
    <definedName name="_xlnm.Print_Titles" localSheetId="1">'64407564MMY300'!$24:$24</definedName>
    <definedName name="_xlnm.Print_Titles" localSheetId="2">'ABK-CA-PROT-85'!$24:$24</definedName>
    <definedName name="_xlnm.Print_Titles" localSheetId="3">'AV-299-23-301'!$24:$24</definedName>
    <definedName name="_xlnm.Print_Titles" localSheetId="4">'BC-IMT-04'!$24:$24</definedName>
    <definedName name="_xlnm.Print_Titles" localSheetId="5">'BGB-16673'!$24:$24</definedName>
    <definedName name="_xlnm.Print_Titles" localSheetId="7">'D361DC00001 C'!$24:$24</definedName>
    <definedName name="_xlnm.Print_Titles" localSheetId="8">D9103C00001!$24:$24</definedName>
    <definedName name="_xlnm.Print_Titles" localSheetId="10">'EA6192'!$24:$24</definedName>
    <definedName name="_xlnm.Print_Titles" localSheetId="11">'FLM-6774-201'!$24:$24</definedName>
    <definedName name="_xlnm.Print_Titles" localSheetId="12">'GOG-3041'!$24:$24</definedName>
    <definedName name="_xlnm.Print_Titles" localSheetId="13">'HC366-RCC2311'!$24:$24</definedName>
    <definedName name="_xlnm.Print_Titles" localSheetId="14">'HCRN BRE20-468'!$24:$24</definedName>
    <definedName name="_xlnm.Print_Titles" localSheetId="15">'IMMU-132-06'!$24:$24</definedName>
    <definedName name="_xlnm.Print_Titles" localSheetId="16">'M20-431'!$24:$24</definedName>
    <definedName name="_xlnm.Print_Titles" localSheetId="17">'MK3475-U06'!$24:$24</definedName>
    <definedName name="_xlnm.Print_Titles" localSheetId="18">'MK-5684-004'!$24:$24</definedName>
    <definedName name="_xlnm.Print_Titles" localSheetId="19">'mRNA-4157-P201'!$24:$24</definedName>
    <definedName name="_xlnm.Print_Titles" localSheetId="20">'OP-1250-301; O'!$24:$24</definedName>
    <definedName name="_xlnm.Print_Titles" localSheetId="21">'PRISM-1'!$24:$24</definedName>
    <definedName name="_xlnm.Print_Titles" localSheetId="22">'R5678-ONC-1879'!$24:$24</definedName>
    <definedName name="_xlnm.Print_Titles" localSheetId="23">'RBS2418-1001'!$24:$24</definedName>
    <definedName name="_xlnm.Print_Titles" localSheetId="24">'RLY-2608-101'!$24:$24</definedName>
    <definedName name="_xlnm.Print_Titles" localSheetId="25">'SMX 22-002'!$24:$24</definedName>
    <definedName name="_xlnm.Print_Titles" localSheetId="26">'VX0120'!$24:$24</definedName>
    <definedName name="_xlnm.Print_Titles" localSheetId="27">'XL184-IST103'!$24:$24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" i="5" l="1"/>
  <c r="L44" i="5"/>
  <c r="L59" i="14" l="1"/>
  <c r="J21" i="14" s="1"/>
  <c r="J21" i="12"/>
  <c r="L48" i="12"/>
  <c r="J21" i="11" l="1"/>
  <c r="J21" i="10"/>
  <c r="L31" i="10"/>
  <c r="L33" i="9" l="1"/>
  <c r="J21" i="8" l="1"/>
  <c r="L60" i="8"/>
  <c r="J21" i="3" l="1"/>
  <c r="L31" i="3"/>
  <c r="J21" i="1"/>
  <c r="L81" i="1"/>
</calcChain>
</file>

<file path=xl/sharedStrings.xml><?xml version="1.0" encoding="utf-8"?>
<sst xmlns="http://schemas.openxmlformats.org/spreadsheetml/2006/main" count="2789" uniqueCount="339">
  <si>
    <t>INVOICE NO.:</t>
  </si>
  <si>
    <t>06-2025-124</t>
  </si>
  <si>
    <t>UNIVERSITY OF ARIZONA</t>
  </si>
  <si>
    <t>MAIL PAYMENT TO:</t>
  </si>
  <si>
    <t>ATTENTION:  SANDRA WARREN</t>
  </si>
  <si>
    <t>BANNER UNIVERSITY MEDICAL CENTER - TUCSON</t>
  </si>
  <si>
    <t>CLINICAL TRIALS - POST AWARD</t>
  </si>
  <si>
    <t>PO BOX 29693</t>
  </si>
  <si>
    <t>UA RESEARCH ADMINISTRATION</t>
  </si>
  <si>
    <t>PHOENIX, AZ 85038-9693</t>
  </si>
  <si>
    <t>1670 E DRACHMAN STREET</t>
  </si>
  <si>
    <t>TUCSON, AZ 85721</t>
  </si>
  <si>
    <t>TIN</t>
  </si>
  <si>
    <t>90-1074557</t>
  </si>
  <si>
    <t>CREDIT CARD PAYMENTS:</t>
  </si>
  <si>
    <t>CALL: 520-874-7200</t>
  </si>
  <si>
    <t xml:space="preserve">STATEMENT OF MEDICAL SERVICES </t>
  </si>
  <si>
    <t>COORDINATOR:</t>
  </si>
  <si>
    <t>Rows needed</t>
  </si>
  <si>
    <t>STUDY NAME:</t>
  </si>
  <si>
    <t>1463-0001</t>
  </si>
  <si>
    <t>IRB NO.:</t>
  </si>
  <si>
    <t>Rows to add</t>
  </si>
  <si>
    <t>KFS NO.:</t>
  </si>
  <si>
    <t>AMOUNT ENCLOSED</t>
  </si>
  <si>
    <t>$</t>
  </si>
  <si>
    <t>RESEARCH:</t>
  </si>
  <si>
    <t>Industry</t>
  </si>
  <si>
    <t>LOOKUP ONLY</t>
  </si>
  <si>
    <t>Entity Code</t>
  </si>
  <si>
    <t>Medical Records #</t>
  </si>
  <si>
    <t>Acct #</t>
  </si>
  <si>
    <t>Patient Name</t>
  </si>
  <si>
    <t>DOS</t>
  </si>
  <si>
    <t>Charge #</t>
  </si>
  <si>
    <t>CPT4 Code</t>
  </si>
  <si>
    <t>CPT4 Code Description</t>
  </si>
  <si>
    <t>Charge Amount</t>
  </si>
  <si>
    <t>Adjustment</t>
  </si>
  <si>
    <t>Balance Due</t>
  </si>
  <si>
    <t>05810296</t>
  </si>
  <si>
    <t>COUNTS, MASON J</t>
  </si>
  <si>
    <t>82977</t>
  </si>
  <si>
    <t>LAB TRANSFERASE GAMMA-GLUTAMYL</t>
  </si>
  <si>
    <t>83690</t>
  </si>
  <si>
    <t>LAB LIPASE</t>
  </si>
  <si>
    <t>84439</t>
  </si>
  <si>
    <t>LAB THYROXINE T4 FREE</t>
  </si>
  <si>
    <t>84443</t>
  </si>
  <si>
    <t>LAB THYROID STIMULATING HORMONE</t>
  </si>
  <si>
    <t>86140</t>
  </si>
  <si>
    <t>LAB PROT C-REACTIVE</t>
  </si>
  <si>
    <t>85610</t>
  </si>
  <si>
    <t>LAB PROTHROMBIN TIME</t>
  </si>
  <si>
    <t>85730</t>
  </si>
  <si>
    <t>LAB PTT PLASMA/BLD WHL</t>
  </si>
  <si>
    <t>93005</t>
  </si>
  <si>
    <t>EKG TRACING ROUTINE 12+ LEADS</t>
  </si>
  <si>
    <t>82784</t>
  </si>
  <si>
    <t>LAB IG IGA IGD IGG IGM SERUM EA</t>
  </si>
  <si>
    <t>81003</t>
  </si>
  <si>
    <t>LAB UA AUTO WO MICRO</t>
  </si>
  <si>
    <t>TOTAL AMOUNT DUE</t>
  </si>
  <si>
    <t>06-2025-1854</t>
  </si>
  <si>
    <t>64407564MMY300</t>
  </si>
  <si>
    <t>00147389</t>
  </si>
  <si>
    <t>STARKS, TERRY L</t>
  </si>
  <si>
    <t>06-2025-3835</t>
  </si>
  <si>
    <t>ABK-CA-PROT-85</t>
  </si>
  <si>
    <t>04042768</t>
  </si>
  <si>
    <t>DAUGHTERY, STEPHEN C</t>
  </si>
  <si>
    <t>06-2025-3753</t>
  </si>
  <si>
    <t>AV-299-23-301</t>
  </si>
  <si>
    <t>31027770</t>
  </si>
  <si>
    <t>NAIL, JUSTIN P</t>
  </si>
  <si>
    <t>74160</t>
  </si>
  <si>
    <t>CT ABDOMEN W CNT</t>
  </si>
  <si>
    <t>71260</t>
  </si>
  <si>
    <t>CT CHEST DX W CNT</t>
  </si>
  <si>
    <t>Q9967</t>
  </si>
  <si>
    <t>IOPAMIDOL 76%/1ML 100ML SNIJ</t>
  </si>
  <si>
    <t>06-2025-5616</t>
  </si>
  <si>
    <t>BC-IMT-04</t>
  </si>
  <si>
    <t>31383354</t>
  </si>
  <si>
    <t>MARSHALL, JENNIFER</t>
  </si>
  <si>
    <t>82024</t>
  </si>
  <si>
    <t>LAB HORMONE ADRENOCORTICOTROPIC</t>
  </si>
  <si>
    <t>82533</t>
  </si>
  <si>
    <t>LAB CORTISOL TOTAL</t>
  </si>
  <si>
    <t>84702</t>
  </si>
  <si>
    <t>LAB HCG QN</t>
  </si>
  <si>
    <t>83615</t>
  </si>
  <si>
    <t>LAB LDH</t>
  </si>
  <si>
    <t>83880</t>
  </si>
  <si>
    <t>LAB PEPTIDE NATRIURETIC PB</t>
  </si>
  <si>
    <t>84484</t>
  </si>
  <si>
    <t>LAB TROPONIN QN</t>
  </si>
  <si>
    <t>84550</t>
  </si>
  <si>
    <t>LAB ACID URIC BLOOD</t>
  </si>
  <si>
    <t>86705</t>
  </si>
  <si>
    <t>LAB AB HEPATITIS B CORE IGM</t>
  </si>
  <si>
    <t>86706</t>
  </si>
  <si>
    <t>LAB AB HEPATITIS B SURFACE</t>
  </si>
  <si>
    <t>86803</t>
  </si>
  <si>
    <t>LAB AB HEPATITIS C</t>
  </si>
  <si>
    <t>87340</t>
  </si>
  <si>
    <t>LAB DET AG IA HBSAG QL/SEMI QN</t>
  </si>
  <si>
    <t>81001</t>
  </si>
  <si>
    <t>LAB UA AUTO W MICRO</t>
  </si>
  <si>
    <t>06-2025-1322</t>
  </si>
  <si>
    <t>BGB-16673</t>
  </si>
  <si>
    <t>16156119</t>
  </si>
  <si>
    <t>CHOATE, JUDITH L</t>
  </si>
  <si>
    <t>83036</t>
  </si>
  <si>
    <t>LAB HEMOGLOBIN A1C</t>
  </si>
  <si>
    <t>06-2025-1723</t>
  </si>
  <si>
    <t>CL04-ORY-1001</t>
  </si>
  <si>
    <t>30146647</t>
  </si>
  <si>
    <t>ANDERSON, BRUCE N</t>
  </si>
  <si>
    <t>85379</t>
  </si>
  <si>
    <t>LAB FDP D-DIMER QN</t>
  </si>
  <si>
    <t>06-2025-4723</t>
  </si>
  <si>
    <t>D361DC00001 C</t>
  </si>
  <si>
    <t>31153472</t>
  </si>
  <si>
    <t>GUTIERREZ, ELDA J</t>
  </si>
  <si>
    <t>80061</t>
  </si>
  <si>
    <t>LAB PANEL LIPID</t>
  </si>
  <si>
    <t>74177</t>
  </si>
  <si>
    <t>CT ABDOMEN&amp;PELVIS W CNT</t>
  </si>
  <si>
    <t>IOPAMIDOL 76%/1ML 500ML SNIJ MDV</t>
  </si>
  <si>
    <t>30221331</t>
  </si>
  <si>
    <t>COLLI, CARLA M</t>
  </si>
  <si>
    <t>31374808</t>
  </si>
  <si>
    <t>CANASTILLOARGUELLES, MONICA P</t>
  </si>
  <si>
    <t>06-2025-1910019977</t>
  </si>
  <si>
    <t>D9103C00001</t>
  </si>
  <si>
    <t>15916760</t>
  </si>
  <si>
    <t>DITTO, LLOYD E</t>
  </si>
  <si>
    <t>82150</t>
  </si>
  <si>
    <t>LAB AMYLASE</t>
  </si>
  <si>
    <t>80053</t>
  </si>
  <si>
    <t>LAB PANEL METAB COMP</t>
  </si>
  <si>
    <t>85025</t>
  </si>
  <si>
    <t>LAB CBC AUTO W AUTO DIFF</t>
  </si>
  <si>
    <t>06-2025-1773</t>
  </si>
  <si>
    <t>DEK-DKK1-P207</t>
  </si>
  <si>
    <t>11437340</t>
  </si>
  <si>
    <t>ALTAMIRANO, RICARDO</t>
  </si>
  <si>
    <t>06-2025-2822</t>
  </si>
  <si>
    <t>EA6192</t>
  </si>
  <si>
    <t>Federal</t>
  </si>
  <si>
    <t>31106060</t>
  </si>
  <si>
    <t>SIEK, WILLIAM</t>
  </si>
  <si>
    <t>06-2025-3612</t>
  </si>
  <si>
    <t>FLM-6774-201</t>
  </si>
  <si>
    <t>30233483</t>
  </si>
  <si>
    <t>MARCO, CHRISTOPHER J</t>
  </si>
  <si>
    <t>84100</t>
  </si>
  <si>
    <t>LAB PHOSPHORUS INORGANIC</t>
  </si>
  <si>
    <t>84481</t>
  </si>
  <si>
    <t>LAB TRIIODOTHYRONINE T3 FREE</t>
  </si>
  <si>
    <t>19103779</t>
  </si>
  <si>
    <t>ZOERB, DANIEL R</t>
  </si>
  <si>
    <t>06-2025-2101341520</t>
  </si>
  <si>
    <t>GOG-3041</t>
  </si>
  <si>
    <t>31259506</t>
  </si>
  <si>
    <t>CALAIS, KODI G</t>
  </si>
  <si>
    <t>06-2025-4287</t>
  </si>
  <si>
    <t>HC366-RCC2311</t>
  </si>
  <si>
    <t>31255395</t>
  </si>
  <si>
    <t>MEYERS, STEVEN D</t>
  </si>
  <si>
    <t>31296691</t>
  </si>
  <si>
    <t>VALLECORONA, MARIA D</t>
  </si>
  <si>
    <t>93306</t>
  </si>
  <si>
    <t>ECHO 2D DOPP&amp;CLR FLW CMP WO CNT</t>
  </si>
  <si>
    <t>30226923</t>
  </si>
  <si>
    <t>CARRILLO, FELIX B</t>
  </si>
  <si>
    <t>82465</t>
  </si>
  <si>
    <t>LAB CHOLESTEROL SRM/BLD WHL TTL</t>
  </si>
  <si>
    <t>83001</t>
  </si>
  <si>
    <t>LAB GONADOTROPIN FSH SERUM</t>
  </si>
  <si>
    <t>83003</t>
  </si>
  <si>
    <t>LAB HORMONE HUMAN GROWTH</t>
  </si>
  <si>
    <t>84403</t>
  </si>
  <si>
    <t>LAB TESTOSTERONE TOTAL</t>
  </si>
  <si>
    <t/>
  </si>
  <si>
    <t>HEMOSTATIC AGENT LVL 01</t>
  </si>
  <si>
    <t>NEEDLE BIOPSY LVL 02</t>
  </si>
  <si>
    <t>NEEDLE SPECIALTY LVL 01</t>
  </si>
  <si>
    <t>88307</t>
  </si>
  <si>
    <t>LAB PATH GROSS&amp;MICRO LVL 5</t>
  </si>
  <si>
    <t>88342</t>
  </si>
  <si>
    <t>LAB IMHST/IMCYT AB 1ST PER SPEC</t>
  </si>
  <si>
    <t>99152</t>
  </si>
  <si>
    <t>SED MOD SAME 5+Y INIT 15MN</t>
  </si>
  <si>
    <t>99153</t>
  </si>
  <si>
    <t>SED MOD SAME ADDL 15MN</t>
  </si>
  <si>
    <t>47000</t>
  </si>
  <si>
    <t>BX LIVER NDL PERC</t>
  </si>
  <si>
    <t>77012</t>
  </si>
  <si>
    <t>CT GD PLCMT NEEDLE S&amp;I</t>
  </si>
  <si>
    <t>J8499</t>
  </si>
  <si>
    <t>OXYCODONE/5MG 5MG TB</t>
  </si>
  <si>
    <t>J3010</t>
  </si>
  <si>
    <t>FENTNYL CITR/0.1MG 100MCG/2ML SNIJ</t>
  </si>
  <si>
    <t>J2250</t>
  </si>
  <si>
    <t>MIDAZOLAM/1MG 2MG/2ML SNIJ</t>
  </si>
  <si>
    <t>J2405</t>
  </si>
  <si>
    <t>ONDANSETRN HCL/1MG 4MG/2ML SNIJ</t>
  </si>
  <si>
    <t>J2003</t>
  </si>
  <si>
    <t>LIDO 1%/1MG 200MG/20ML SNIJ MDV</t>
  </si>
  <si>
    <t>06-2025-2120</t>
  </si>
  <si>
    <t>HCRN BRE20-468</t>
  </si>
  <si>
    <t>31305560</t>
  </si>
  <si>
    <t>VILLEGAS, PATRICIA</t>
  </si>
  <si>
    <t>31081314</t>
  </si>
  <si>
    <t>DIAZ, DEBRA D</t>
  </si>
  <si>
    <t>06-2025-1903472445</t>
  </si>
  <si>
    <t>IMMU-132-06</t>
  </si>
  <si>
    <t>31314211</t>
  </si>
  <si>
    <t>HOOKER, LORACE M</t>
  </si>
  <si>
    <t>83735</t>
  </si>
  <si>
    <t>LAB MAGNESIUM</t>
  </si>
  <si>
    <t>31223380</t>
  </si>
  <si>
    <t>RIGGLE, NATHAN D</t>
  </si>
  <si>
    <t>06-2025-5051</t>
  </si>
  <si>
    <t>M20-431</t>
  </si>
  <si>
    <t>30213006</t>
  </si>
  <si>
    <t>MONGEMORENO, JUANA</t>
  </si>
  <si>
    <t>70491</t>
  </si>
  <si>
    <t>CT NECK ST W CNT</t>
  </si>
  <si>
    <t>06-2025-4725</t>
  </si>
  <si>
    <t>MK3475-U06</t>
  </si>
  <si>
    <t>31457191</t>
  </si>
  <si>
    <t>CHANG, MI S</t>
  </si>
  <si>
    <t>06-2025-3932</t>
  </si>
  <si>
    <t>MK-5684-004</t>
  </si>
  <si>
    <t>31433754</t>
  </si>
  <si>
    <t>MORALES, JOSE M</t>
  </si>
  <si>
    <t>78306</t>
  </si>
  <si>
    <t>NM BONE&amp;/JOINT BODY WHOLE</t>
  </si>
  <si>
    <t>A9503</t>
  </si>
  <si>
    <t>RRX TC99 MEDRONATE/0-30MCI DOSE</t>
  </si>
  <si>
    <t>84436</t>
  </si>
  <si>
    <t>LAB THYROXINE T4 TOTAL</t>
  </si>
  <si>
    <t>84480</t>
  </si>
  <si>
    <t>LAB TRIIODOTHYRONINE T3 TOTAL</t>
  </si>
  <si>
    <t>31361118</t>
  </si>
  <si>
    <t>BELTRAN, JORGE F</t>
  </si>
  <si>
    <t>A9562</t>
  </si>
  <si>
    <t>RRX MERTIATIDE DX/0-15MCI DOSE</t>
  </si>
  <si>
    <t>06-2025-2006796061</t>
  </si>
  <si>
    <t>mRNA-4157-P201</t>
  </si>
  <si>
    <t>31217799</t>
  </si>
  <si>
    <t>BYRNE, GREGORY W</t>
  </si>
  <si>
    <t>31430122</t>
  </si>
  <si>
    <t>STOCKS, DIANE E</t>
  </si>
  <si>
    <t>31425455</t>
  </si>
  <si>
    <t>VANTINE, RUSSELL</t>
  </si>
  <si>
    <t>31431518</t>
  </si>
  <si>
    <t>GOLDBERG, PAULA F</t>
  </si>
  <si>
    <t>06-2025-3820</t>
  </si>
  <si>
    <t>OP-1250-301; O</t>
  </si>
  <si>
    <t>31299316</t>
  </si>
  <si>
    <t>SCHRATZ, BARBARA M</t>
  </si>
  <si>
    <t>06-2025-4985</t>
  </si>
  <si>
    <t>PRISM-1</t>
  </si>
  <si>
    <t>31170818</t>
  </si>
  <si>
    <t>MCSPADDEN, ROBIN C</t>
  </si>
  <si>
    <t>06-2025-924</t>
  </si>
  <si>
    <t>R5678-ONC-1879</t>
  </si>
  <si>
    <t>31121458</t>
  </si>
  <si>
    <t>KELSO, KARL D</t>
  </si>
  <si>
    <t>06-2025-1160</t>
  </si>
  <si>
    <t>RBS2418-1001</t>
  </si>
  <si>
    <t>31248089</t>
  </si>
  <si>
    <t>BOYER, RICHARD E</t>
  </si>
  <si>
    <t>31373507</t>
  </si>
  <si>
    <t>MOJICA, JOSE M</t>
  </si>
  <si>
    <t>31357869</t>
  </si>
  <si>
    <t>BOUMIS, ROBERT H</t>
  </si>
  <si>
    <t>49180</t>
  </si>
  <si>
    <t>BX MASS ABD/RETRO NDL PERC</t>
  </si>
  <si>
    <t>06-2025-848</t>
  </si>
  <si>
    <t>RLY-2608-101</t>
  </si>
  <si>
    <t>16730657</t>
  </si>
  <si>
    <t>SEITZ, LINDA S</t>
  </si>
  <si>
    <t>84681</t>
  </si>
  <si>
    <t>LAB C-PEPTIDE</t>
  </si>
  <si>
    <t>83525</t>
  </si>
  <si>
    <t>LAB INSULIN TOTAL</t>
  </si>
  <si>
    <t>17961095</t>
  </si>
  <si>
    <t>TERRES, LINDA J</t>
  </si>
  <si>
    <t>06-2025-2821</t>
  </si>
  <si>
    <t>SMX 22-002</t>
  </si>
  <si>
    <t>31082077</t>
  </si>
  <si>
    <t>GLOVER, FAITH J</t>
  </si>
  <si>
    <t>06-2025-3182</t>
  </si>
  <si>
    <t>VX0120</t>
  </si>
  <si>
    <t>31274837</t>
  </si>
  <si>
    <t>MARTINEZ, GERARDO</t>
  </si>
  <si>
    <t>36591</t>
  </si>
  <si>
    <t>COLLECT SPEC BLD VAD IMPLNT</t>
  </si>
  <si>
    <t>06-2025-2108097176</t>
  </si>
  <si>
    <t>XL184-IST103</t>
  </si>
  <si>
    <t>31456424</t>
  </si>
  <si>
    <t>ROCHA, MAXIMO</t>
  </si>
  <si>
    <t>PI</t>
  </si>
  <si>
    <t>Julian</t>
  </si>
  <si>
    <t>Ok</t>
  </si>
  <si>
    <t>KD 10/10/2025</t>
  </si>
  <si>
    <t>PO #810915</t>
  </si>
  <si>
    <t>Husnain</t>
  </si>
  <si>
    <t>Young</t>
  </si>
  <si>
    <t xml:space="preserve">PI </t>
  </si>
  <si>
    <t>Rozell</t>
  </si>
  <si>
    <t>KD 10/11/2025</t>
  </si>
  <si>
    <t>Hsu</t>
  </si>
  <si>
    <t>SOC according to CA and OnCore</t>
  </si>
  <si>
    <t>KD 10/12/2025</t>
  </si>
  <si>
    <t>Scott</t>
  </si>
  <si>
    <t>KD 10/14/2025</t>
  </si>
  <si>
    <t>eDOC 32425079</t>
  </si>
  <si>
    <t>eDOC 32401232</t>
  </si>
  <si>
    <t>eDOC 32415243</t>
  </si>
  <si>
    <t>eDOC 32424873</t>
  </si>
  <si>
    <t>eDOC 32486262</t>
  </si>
  <si>
    <t>eDOC 32486131</t>
  </si>
  <si>
    <t>4007597 E6192</t>
  </si>
  <si>
    <t>Nallagangula</t>
  </si>
  <si>
    <t>KD 10/27/2025</t>
  </si>
  <si>
    <t>KD 10/31/2025</t>
  </si>
  <si>
    <t>eDOC 32637886</t>
  </si>
  <si>
    <t>eDOC 32644877</t>
  </si>
  <si>
    <t>Gelmann</t>
  </si>
  <si>
    <t>KD 11/19/2025</t>
  </si>
  <si>
    <t>Ehsani</t>
  </si>
  <si>
    <t>eDOC 32786671</t>
  </si>
  <si>
    <t>eDOC 32918778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</si>
</sst>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[$-10409]yyyy\-mm\-dd"/>
    <numFmt numFmtId="165" formatCode="[$-10409]&quot;$&quot;#,##0.00;\(&quot;$&quot;#,##0.00\)"/>
    <numFmt numFmtId="166" formatCode="mm/dd/yy;@"/>
  </numFmts>
  <fonts count="14" x14ac:knownFonts="1">
    <font>
      <sz val="11"/>
      <name val="Calibri"/>
      <family val="2"/>
    </font>
    <font>
      <sz val="10"/>
      <name val="Arial"/>
      <family val="2"/>
    </font>
    <font>
      <sz val="9"/>
      <name val="Arial"/>
      <family val="2"/>
    </font>
    <font>
      <sz val="10"/>
      <color theme="1"/>
      <name val="Arial"/>
      <family val="2"/>
    </font>
    <font>
      <b/>
      <sz val="9"/>
      <name val="Arial"/>
      <family val="2"/>
    </font>
    <font>
      <b/>
      <u/>
      <sz val="9"/>
      <name val="Arial"/>
      <family val="2"/>
    </font>
    <font>
      <b/>
      <sz val="11"/>
      <name val="Calibri"/>
      <family val="2"/>
    </font>
    <font>
      <b/>
      <sz val="9"/>
      <name val="Tahoma"/>
      <family val="2"/>
    </font>
    <font>
      <sz val="9"/>
      <name val="Bahnschrift Light"/>
      <family val="2"/>
    </font>
    <font>
      <sz val="9"/>
      <color indexed="8"/>
      <name val="Tahoma"/>
      <family val="2"/>
    </font>
    <font>
      <b/>
      <sz val="10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strike/>
      <sz val="9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44" fontId="3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1" applyFont="1"/>
    <xf numFmtId="0" fontId="3" fillId="0" borderId="0" xfId="2"/>
    <xf numFmtId="0" fontId="4" fillId="0" borderId="0" xfId="1" applyFont="1"/>
    <xf numFmtId="14" fontId="4" fillId="0" borderId="0" xfId="1" applyNumberFormat="1" applyFont="1"/>
    <xf numFmtId="0" fontId="5" fillId="0" borderId="0" xfId="1" applyFont="1"/>
    <xf numFmtId="0" fontId="4" fillId="0" borderId="0" xfId="1" applyFont="1" applyAlignment="1">
      <alignment horizontal="left"/>
    </xf>
    <xf numFmtId="0" fontId="4" fillId="0" borderId="0" xfId="1" applyFont="1" applyAlignment="1">
      <alignment vertical="top"/>
    </xf>
    <xf numFmtId="0" fontId="4" fillId="0" borderId="2" xfId="1" applyFont="1" applyBorder="1" applyAlignment="1">
      <alignment vertical="center"/>
    </xf>
    <xf numFmtId="0" fontId="2" fillId="0" borderId="2" xfId="1" applyFont="1" applyBorder="1"/>
    <xf numFmtId="0" fontId="2" fillId="0" borderId="3" xfId="1" applyFont="1" applyBorder="1"/>
    <xf numFmtId="0" fontId="4" fillId="0" borderId="0" xfId="1" applyFont="1" applyAlignment="1">
      <alignment vertical="center"/>
    </xf>
    <xf numFmtId="0" fontId="4" fillId="0" borderId="0" xfId="1" applyFont="1" applyAlignment="1">
      <alignment horizontal="center" vertical="center"/>
    </xf>
    <xf numFmtId="0" fontId="6" fillId="0" borderId="0" xfId="0" applyFont="1" applyAlignment="1">
      <alignment horizontal="right"/>
    </xf>
    <xf numFmtId="0" fontId="4" fillId="0" borderId="0" xfId="1" applyFont="1" applyAlignment="1">
      <alignment horizontal="right" vertical="center"/>
    </xf>
    <xf numFmtId="0" fontId="4" fillId="0" borderId="0" xfId="1" applyFont="1" applyAlignment="1">
      <alignment horizontal="center" vertical="center" wrapText="1"/>
    </xf>
    <xf numFmtId="0" fontId="4" fillId="0" borderId="0" xfId="1" applyFont="1" applyAlignment="1">
      <alignment horizontal="left" vertical="center"/>
    </xf>
    <xf numFmtId="0" fontId="4" fillId="0" borderId="4" xfId="1" applyFont="1" applyBorder="1" applyAlignment="1">
      <alignment horizontal="center" vertical="center" wrapText="1"/>
    </xf>
    <xf numFmtId="0" fontId="1" fillId="3" borderId="0" xfId="2" applyFont="1" applyFill="1" applyAlignment="1">
      <alignment horizontal="left" vertical="center"/>
    </xf>
    <xf numFmtId="0" fontId="7" fillId="3" borderId="0" xfId="2" applyFont="1" applyFill="1" applyAlignment="1" applyProtection="1">
      <alignment horizontal="center" vertical="center" wrapText="1" readingOrder="1"/>
      <protection locked="0"/>
    </xf>
    <xf numFmtId="0" fontId="1" fillId="3" borderId="0" xfId="2" applyFont="1" applyFill="1"/>
    <xf numFmtId="0" fontId="8" fillId="0" borderId="0" xfId="0" applyFont="1"/>
    <xf numFmtId="0" fontId="2" fillId="0" borderId="0" xfId="2" applyFont="1" applyAlignment="1" applyProtection="1">
      <alignment horizontal="center" vertical="center" wrapText="1"/>
      <protection locked="0"/>
    </xf>
    <xf numFmtId="0" fontId="9" fillId="0" borderId="0" xfId="2" applyFont="1" applyAlignment="1" applyProtection="1">
      <alignment horizontal="center" vertical="center" wrapText="1" readingOrder="1"/>
      <protection locked="0"/>
    </xf>
    <xf numFmtId="0" fontId="3" fillId="0" borderId="0" xfId="2" applyAlignment="1">
      <alignment vertical="center"/>
    </xf>
    <xf numFmtId="0" fontId="9" fillId="0" borderId="0" xfId="2" applyFont="1" applyAlignment="1" applyProtection="1">
      <alignment vertical="center" wrapText="1" readingOrder="1"/>
      <protection locked="0"/>
    </xf>
    <xf numFmtId="164" fontId="9" fillId="0" borderId="0" xfId="2" applyNumberFormat="1" applyFont="1" applyAlignment="1" applyProtection="1">
      <alignment vertical="center" wrapText="1" readingOrder="1"/>
      <protection locked="0"/>
    </xf>
    <xf numFmtId="165" fontId="9" fillId="0" borderId="0" xfId="2" applyNumberFormat="1" applyFont="1" applyAlignment="1" applyProtection="1">
      <alignment vertical="center" wrapText="1" readingOrder="1"/>
      <protection locked="0"/>
    </xf>
    <xf numFmtId="166" fontId="4" fillId="0" borderId="0" xfId="1" applyNumberFormat="1" applyFont="1" applyAlignment="1">
      <alignment horizontal="center" vertical="center"/>
    </xf>
    <xf numFmtId="0" fontId="4" fillId="0" borderId="0" xfId="1" applyFont="1" applyAlignment="1">
      <alignment horizontal="left" vertical="center" wrapText="1"/>
    </xf>
    <xf numFmtId="44" fontId="4" fillId="0" borderId="0" xfId="3" applyFont="1" applyBorder="1" applyAlignment="1">
      <alignment vertical="center"/>
    </xf>
    <xf numFmtId="0" fontId="2" fillId="0" borderId="0" xfId="1" applyFont="1" applyAlignment="1">
      <alignment horizontal="center" vertical="center"/>
    </xf>
    <xf numFmtId="44" fontId="2" fillId="0" borderId="0" xfId="3" applyFont="1" applyBorder="1" applyAlignment="1">
      <alignment vertical="center"/>
    </xf>
    <xf numFmtId="165" fontId="4" fillId="0" borderId="6" xfId="1" applyNumberFormat="1" applyFont="1" applyBorder="1" applyAlignment="1">
      <alignment vertical="center"/>
    </xf>
    <xf numFmtId="7" fontId="3" fillId="0" borderId="0" xfId="2" applyNumberFormat="1"/>
    <xf numFmtId="0" fontId="4" fillId="0" borderId="0" xfId="1" applyFont="1" applyAlignment="1">
      <alignment vertical="center" wrapText="1"/>
    </xf>
    <xf numFmtId="165" fontId="4" fillId="0" borderId="0" xfId="1" applyNumberFormat="1" applyFont="1" applyAlignment="1">
      <alignment vertical="center"/>
    </xf>
    <xf numFmtId="0" fontId="11" fillId="0" borderId="0" xfId="1" applyFont="1"/>
    <xf numFmtId="0" fontId="3" fillId="0" borderId="0" xfId="2" applyAlignment="1">
      <alignment wrapText="1"/>
    </xf>
    <xf numFmtId="7" fontId="4" fillId="0" borderId="0" xfId="1" applyNumberFormat="1" applyFont="1" applyAlignment="1">
      <alignment vertical="center"/>
    </xf>
    <xf numFmtId="0" fontId="12" fillId="0" borderId="0" xfId="1" applyFont="1" applyAlignment="1">
      <alignment vertical="center"/>
    </xf>
    <xf numFmtId="0" fontId="12" fillId="0" borderId="0" xfId="1" applyFont="1" applyAlignment="1">
      <alignment horizontal="left" vertical="center"/>
    </xf>
    <xf numFmtId="165" fontId="13" fillId="0" borderId="0" xfId="2" applyNumberFormat="1" applyFont="1" applyAlignment="1" applyProtection="1">
      <alignment vertical="center" wrapText="1" readingOrder="1"/>
      <protection locked="0"/>
    </xf>
    <xf numFmtId="0" fontId="1" fillId="3" borderId="0" xfId="2" applyFont="1" applyFill="1" applyAlignment="1">
      <alignment wrapText="1"/>
    </xf>
    <xf numFmtId="0" fontId="4" fillId="0" borderId="1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165" fontId="4" fillId="2" borderId="5" xfId="1" applyNumberFormat="1" applyFont="1" applyFill="1" applyBorder="1" applyAlignment="1">
      <alignment horizontal="left" vertical="center"/>
    </xf>
    <xf numFmtId="0" fontId="4" fillId="2" borderId="2" xfId="1" applyFont="1" applyFill="1" applyBorder="1" applyAlignment="1">
      <alignment horizontal="left" vertical="center"/>
    </xf>
    <xf numFmtId="0" fontId="10" fillId="0" borderId="0" xfId="1" applyFont="1" applyAlignment="1">
      <alignment horizontal="center" vertical="center" wrapText="1"/>
    </xf>
    <xf numFmtId="8" fontId="4" fillId="2" borderId="5" xfId="1" applyNumberFormat="1" applyFont="1" applyFill="1" applyBorder="1" applyAlignment="1">
      <alignment horizontal="left" vertical="center"/>
    </xf>
    <xf numFmtId="0" fontId="4" fillId="2" borderId="5" xfId="1" applyFont="1" applyFill="1" applyBorder="1" applyAlignment="1">
      <alignment horizontal="left" vertical="center"/>
    </xf>
  </cellXfs>
  <cellStyles count="4">
    <cellStyle name="Currency 2" xfId="3" xr:uid="{3455A59C-811F-4190-9439-4ED3C54EB837}"/>
    <cellStyle name="Normal" xfId="0" builtinId="0"/>
    <cellStyle name="Normal 2" xfId="2" xr:uid="{14AF1B49-9666-403C-B011-081AAD11753F}"/>
    <cellStyle name="Normal_Statements1" xfId="1" xr:uid="{234F2C82-F55E-4D2F-8E50-850967E07F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90684</xdr:rowOff>
    </xdr:from>
    <xdr:ext cx="1454448" cy="642347"/>
    <xdr:pic>
      <xdr:nvPicPr>
        <xdr:cNvPr id="2" name="Picture 1">
          <a:extLst>
            <a:ext uri="{FF2B5EF4-FFF2-40B4-BE49-F238E27FC236}">
              <a16:creationId xmlns:a16="http://schemas.microsoft.com/office/drawing/2014/main" id="{EDA77AAE-7FAD-4D1E-A4C1-C526B6377C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0684"/>
          <a:ext cx="1454448" cy="64234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90684</xdr:rowOff>
    </xdr:from>
    <xdr:ext cx="1454448" cy="642347"/>
    <xdr:pic>
      <xdr:nvPicPr>
        <xdr:cNvPr id="2" name="Picture 1">
          <a:extLst>
            <a:ext uri="{FF2B5EF4-FFF2-40B4-BE49-F238E27FC236}">
              <a16:creationId xmlns:a16="http://schemas.microsoft.com/office/drawing/2014/main" id="{DBE99E19-D960-43C6-8319-6FE55F67CE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0684"/>
          <a:ext cx="1454448" cy="64234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90684</xdr:rowOff>
    </xdr:from>
    <xdr:ext cx="1454448" cy="642347"/>
    <xdr:pic>
      <xdr:nvPicPr>
        <xdr:cNvPr id="2" name="Picture 1">
          <a:extLst>
            <a:ext uri="{FF2B5EF4-FFF2-40B4-BE49-F238E27FC236}">
              <a16:creationId xmlns:a16="http://schemas.microsoft.com/office/drawing/2014/main" id="{220AFBB2-A1FC-432C-BB43-C4FE04C60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0684"/>
          <a:ext cx="1454448" cy="64234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90684</xdr:rowOff>
    </xdr:from>
    <xdr:ext cx="1454448" cy="642347"/>
    <xdr:pic>
      <xdr:nvPicPr>
        <xdr:cNvPr id="2" name="Picture 1">
          <a:extLst>
            <a:ext uri="{FF2B5EF4-FFF2-40B4-BE49-F238E27FC236}">
              <a16:creationId xmlns:a16="http://schemas.microsoft.com/office/drawing/2014/main" id="{F6660430-72EA-4FE5-802D-3C66D1DC9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0684"/>
          <a:ext cx="1454448" cy="642347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90684</xdr:rowOff>
    </xdr:from>
    <xdr:ext cx="1454448" cy="642347"/>
    <xdr:pic>
      <xdr:nvPicPr>
        <xdr:cNvPr id="2" name="Picture 1">
          <a:extLst>
            <a:ext uri="{FF2B5EF4-FFF2-40B4-BE49-F238E27FC236}">
              <a16:creationId xmlns:a16="http://schemas.microsoft.com/office/drawing/2014/main" id="{6D9E2832-DB09-4AC9-93CB-8EAD0D7C2B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0684"/>
          <a:ext cx="1454448" cy="642347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90684</xdr:rowOff>
    </xdr:from>
    <xdr:ext cx="1454448" cy="642347"/>
    <xdr:pic>
      <xdr:nvPicPr>
        <xdr:cNvPr id="2" name="Picture 1">
          <a:extLst>
            <a:ext uri="{FF2B5EF4-FFF2-40B4-BE49-F238E27FC236}">
              <a16:creationId xmlns:a16="http://schemas.microsoft.com/office/drawing/2014/main" id="{B33B1304-B8F0-4A8E-AA17-B0DD5BF201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0684"/>
          <a:ext cx="1454448" cy="642347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90684</xdr:rowOff>
    </xdr:from>
    <xdr:ext cx="1454448" cy="642347"/>
    <xdr:pic>
      <xdr:nvPicPr>
        <xdr:cNvPr id="2" name="Picture 1">
          <a:extLst>
            <a:ext uri="{FF2B5EF4-FFF2-40B4-BE49-F238E27FC236}">
              <a16:creationId xmlns:a16="http://schemas.microsoft.com/office/drawing/2014/main" id="{B3713983-2184-4411-B22D-03E64F5A59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0684"/>
          <a:ext cx="1454448" cy="642347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90684</xdr:rowOff>
    </xdr:from>
    <xdr:ext cx="1454448" cy="642347"/>
    <xdr:pic>
      <xdr:nvPicPr>
        <xdr:cNvPr id="2" name="Picture 1">
          <a:extLst>
            <a:ext uri="{FF2B5EF4-FFF2-40B4-BE49-F238E27FC236}">
              <a16:creationId xmlns:a16="http://schemas.microsoft.com/office/drawing/2014/main" id="{4781CF58-C8D6-41A7-BF4F-0811283726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0684"/>
          <a:ext cx="1454448" cy="642347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90684</xdr:rowOff>
    </xdr:from>
    <xdr:ext cx="1454448" cy="642347"/>
    <xdr:pic>
      <xdr:nvPicPr>
        <xdr:cNvPr id="2" name="Picture 1">
          <a:extLst>
            <a:ext uri="{FF2B5EF4-FFF2-40B4-BE49-F238E27FC236}">
              <a16:creationId xmlns:a16="http://schemas.microsoft.com/office/drawing/2014/main" id="{8ABC978E-FE8F-4B44-AA75-D6DDD06F10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0684"/>
          <a:ext cx="1454448" cy="642347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90684</xdr:rowOff>
    </xdr:from>
    <xdr:ext cx="1454448" cy="642347"/>
    <xdr:pic>
      <xdr:nvPicPr>
        <xdr:cNvPr id="2" name="Picture 1">
          <a:extLst>
            <a:ext uri="{FF2B5EF4-FFF2-40B4-BE49-F238E27FC236}">
              <a16:creationId xmlns:a16="http://schemas.microsoft.com/office/drawing/2014/main" id="{2C5F32E3-A9BB-4505-9680-B904D45EC0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0684"/>
          <a:ext cx="1454448" cy="642347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90684</xdr:rowOff>
    </xdr:from>
    <xdr:ext cx="1454448" cy="642347"/>
    <xdr:pic>
      <xdr:nvPicPr>
        <xdr:cNvPr id="2" name="Picture 1">
          <a:extLst>
            <a:ext uri="{FF2B5EF4-FFF2-40B4-BE49-F238E27FC236}">
              <a16:creationId xmlns:a16="http://schemas.microsoft.com/office/drawing/2014/main" id="{842D66CD-0C47-4784-9D84-8CB5AB78EF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0684"/>
          <a:ext cx="1454448" cy="642347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90684</xdr:rowOff>
    </xdr:from>
    <xdr:ext cx="1454448" cy="642347"/>
    <xdr:pic>
      <xdr:nvPicPr>
        <xdr:cNvPr id="2" name="Picture 1">
          <a:extLst>
            <a:ext uri="{FF2B5EF4-FFF2-40B4-BE49-F238E27FC236}">
              <a16:creationId xmlns:a16="http://schemas.microsoft.com/office/drawing/2014/main" id="{3BDEAE93-61DC-485B-A5F0-26A822157C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0684"/>
          <a:ext cx="1454448" cy="642347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90684</xdr:rowOff>
    </xdr:from>
    <xdr:ext cx="1454448" cy="642347"/>
    <xdr:pic>
      <xdr:nvPicPr>
        <xdr:cNvPr id="2" name="Picture 1">
          <a:extLst>
            <a:ext uri="{FF2B5EF4-FFF2-40B4-BE49-F238E27FC236}">
              <a16:creationId xmlns:a16="http://schemas.microsoft.com/office/drawing/2014/main" id="{6BC2A115-BAE7-4202-9857-BCC08B3149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0684"/>
          <a:ext cx="1454448" cy="642347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90684</xdr:rowOff>
    </xdr:from>
    <xdr:ext cx="1454448" cy="642347"/>
    <xdr:pic>
      <xdr:nvPicPr>
        <xdr:cNvPr id="2" name="Picture 1">
          <a:extLst>
            <a:ext uri="{FF2B5EF4-FFF2-40B4-BE49-F238E27FC236}">
              <a16:creationId xmlns:a16="http://schemas.microsoft.com/office/drawing/2014/main" id="{179F8D30-C590-4A93-9690-3829B4B39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0684"/>
          <a:ext cx="1454448" cy="642347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90684</xdr:rowOff>
    </xdr:from>
    <xdr:ext cx="1454448" cy="642347"/>
    <xdr:pic>
      <xdr:nvPicPr>
        <xdr:cNvPr id="2" name="Picture 1">
          <a:extLst>
            <a:ext uri="{FF2B5EF4-FFF2-40B4-BE49-F238E27FC236}">
              <a16:creationId xmlns:a16="http://schemas.microsoft.com/office/drawing/2014/main" id="{2313D1EF-5709-40E9-9CAE-99ED75B56A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0684"/>
          <a:ext cx="1454448" cy="642347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90684</xdr:rowOff>
    </xdr:from>
    <xdr:ext cx="1454448" cy="642347"/>
    <xdr:pic>
      <xdr:nvPicPr>
        <xdr:cNvPr id="2" name="Picture 1">
          <a:extLst>
            <a:ext uri="{FF2B5EF4-FFF2-40B4-BE49-F238E27FC236}">
              <a16:creationId xmlns:a16="http://schemas.microsoft.com/office/drawing/2014/main" id="{FF5BD6DC-246A-4E62-9F87-D9CFB9164A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0684"/>
          <a:ext cx="1454448" cy="642347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90684</xdr:rowOff>
    </xdr:from>
    <xdr:ext cx="1454448" cy="642347"/>
    <xdr:pic>
      <xdr:nvPicPr>
        <xdr:cNvPr id="2" name="Picture 1">
          <a:extLst>
            <a:ext uri="{FF2B5EF4-FFF2-40B4-BE49-F238E27FC236}">
              <a16:creationId xmlns:a16="http://schemas.microsoft.com/office/drawing/2014/main" id="{80A3EFA5-663B-45DF-82DF-207025025F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0684"/>
          <a:ext cx="1454448" cy="642347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90684</xdr:rowOff>
    </xdr:from>
    <xdr:ext cx="1454448" cy="642347"/>
    <xdr:pic>
      <xdr:nvPicPr>
        <xdr:cNvPr id="2" name="Picture 1">
          <a:extLst>
            <a:ext uri="{FF2B5EF4-FFF2-40B4-BE49-F238E27FC236}">
              <a16:creationId xmlns:a16="http://schemas.microsoft.com/office/drawing/2014/main" id="{AE094788-54DA-47EB-8DD4-E833ED6EE0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0684"/>
          <a:ext cx="1454448" cy="642347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90684</xdr:rowOff>
    </xdr:from>
    <xdr:ext cx="1454448" cy="642347"/>
    <xdr:pic>
      <xdr:nvPicPr>
        <xdr:cNvPr id="2" name="Picture 1">
          <a:extLst>
            <a:ext uri="{FF2B5EF4-FFF2-40B4-BE49-F238E27FC236}">
              <a16:creationId xmlns:a16="http://schemas.microsoft.com/office/drawing/2014/main" id="{7780CC0F-A9C8-4BE3-805B-72E7320B7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0684"/>
          <a:ext cx="1454448" cy="642347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90684</xdr:rowOff>
    </xdr:from>
    <xdr:ext cx="1454448" cy="642347"/>
    <xdr:pic>
      <xdr:nvPicPr>
        <xdr:cNvPr id="2" name="Picture 1">
          <a:extLst>
            <a:ext uri="{FF2B5EF4-FFF2-40B4-BE49-F238E27FC236}">
              <a16:creationId xmlns:a16="http://schemas.microsoft.com/office/drawing/2014/main" id="{8BD4CFFF-0052-4162-98E3-EFFED3F938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0684"/>
          <a:ext cx="1454448" cy="642347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90684</xdr:rowOff>
    </xdr:from>
    <xdr:ext cx="1454448" cy="642347"/>
    <xdr:pic>
      <xdr:nvPicPr>
        <xdr:cNvPr id="2" name="Picture 1">
          <a:extLst>
            <a:ext uri="{FF2B5EF4-FFF2-40B4-BE49-F238E27FC236}">
              <a16:creationId xmlns:a16="http://schemas.microsoft.com/office/drawing/2014/main" id="{11DD2DE4-C6D4-4715-B8DE-47B4A1835A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0684"/>
          <a:ext cx="1454448" cy="642347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90684</xdr:rowOff>
    </xdr:from>
    <xdr:ext cx="1454448" cy="642347"/>
    <xdr:pic>
      <xdr:nvPicPr>
        <xdr:cNvPr id="2" name="Picture 1">
          <a:extLst>
            <a:ext uri="{FF2B5EF4-FFF2-40B4-BE49-F238E27FC236}">
              <a16:creationId xmlns:a16="http://schemas.microsoft.com/office/drawing/2014/main" id="{AA2E68D6-7B9A-4AB6-A728-C42463667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0684"/>
          <a:ext cx="1454448" cy="642347"/>
        </a:xfrm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90684</xdr:rowOff>
    </xdr:from>
    <xdr:ext cx="1454448" cy="642347"/>
    <xdr:pic>
      <xdr:nvPicPr>
        <xdr:cNvPr id="2" name="Picture 1">
          <a:extLst>
            <a:ext uri="{FF2B5EF4-FFF2-40B4-BE49-F238E27FC236}">
              <a16:creationId xmlns:a16="http://schemas.microsoft.com/office/drawing/2014/main" id="{F68196EC-D0EE-4050-AE5A-9067DAC5B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0684"/>
          <a:ext cx="1454448" cy="642347"/>
        </a:xfrm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90684</xdr:rowOff>
    </xdr:from>
    <xdr:ext cx="1454448" cy="642347"/>
    <xdr:pic>
      <xdr:nvPicPr>
        <xdr:cNvPr id="2" name="Picture 1">
          <a:extLst>
            <a:ext uri="{FF2B5EF4-FFF2-40B4-BE49-F238E27FC236}">
              <a16:creationId xmlns:a16="http://schemas.microsoft.com/office/drawing/2014/main" id="{F91B3115-F5BD-4770-BA42-D8382B966F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0684"/>
          <a:ext cx="1454448" cy="642347"/>
        </a:xfrm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90684</xdr:rowOff>
    </xdr:from>
    <xdr:ext cx="1454448" cy="642347"/>
    <xdr:pic>
      <xdr:nvPicPr>
        <xdr:cNvPr id="2" name="Picture 1">
          <a:extLst>
            <a:ext uri="{FF2B5EF4-FFF2-40B4-BE49-F238E27FC236}">
              <a16:creationId xmlns:a16="http://schemas.microsoft.com/office/drawing/2014/main" id="{11E66AB2-BBF2-4772-AC36-EEE37A7920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0684"/>
          <a:ext cx="1454448" cy="642347"/>
        </a:xfrm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90684</xdr:rowOff>
    </xdr:from>
    <xdr:ext cx="1454448" cy="642347"/>
    <xdr:pic>
      <xdr:nvPicPr>
        <xdr:cNvPr id="2" name="Picture 1">
          <a:extLst>
            <a:ext uri="{FF2B5EF4-FFF2-40B4-BE49-F238E27FC236}">
              <a16:creationId xmlns:a16="http://schemas.microsoft.com/office/drawing/2014/main" id="{5AF2B5C8-786E-4820-A48F-3155B032D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0684"/>
          <a:ext cx="1454448" cy="642347"/>
        </a:xfrm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90684</xdr:rowOff>
    </xdr:from>
    <xdr:ext cx="1454448" cy="642347"/>
    <xdr:pic>
      <xdr:nvPicPr>
        <xdr:cNvPr id="2" name="Picture 1">
          <a:extLst>
            <a:ext uri="{FF2B5EF4-FFF2-40B4-BE49-F238E27FC236}">
              <a16:creationId xmlns:a16="http://schemas.microsoft.com/office/drawing/2014/main" id="{1E0BE034-B07A-44EA-B3F3-D5AC7264DE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0684"/>
          <a:ext cx="1454448" cy="642347"/>
        </a:xfrm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90684</xdr:rowOff>
    </xdr:from>
    <xdr:ext cx="1454448" cy="642347"/>
    <xdr:pic>
      <xdr:nvPicPr>
        <xdr:cNvPr id="2" name="Picture 1">
          <a:extLst>
            <a:ext uri="{FF2B5EF4-FFF2-40B4-BE49-F238E27FC236}">
              <a16:creationId xmlns:a16="http://schemas.microsoft.com/office/drawing/2014/main" id="{6344EC49-F48E-498B-B7E2-7D2106C66B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0684"/>
          <a:ext cx="1454448" cy="64234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BB5EC-B323-4C1D-93CF-6A1D20F499F5}">
  <sheetPr>
    <tabColor theme="0"/>
    <pageSetUpPr fitToPage="1"/>
  </sheetPr>
  <dimension ref="A1:N86"/>
  <sheetViews>
    <sheetView topLeftCell="B1" zoomScaleNormal="100" workbookViewId="0">
      <selection activeCell="O21" sqref="O21"/>
    </sheetView>
  </sheetViews>
  <sheetFormatPr defaultColWidth="8.85546875" defaultRowHeight="12.75" x14ac:dyDescent="0.2"/>
  <cols>
    <col min="1" max="1" width="14.42578125" style="2" hidden="1" customWidth="1"/>
    <col min="2" max="2" width="12.42578125" style="2" customWidth="1"/>
    <col min="3" max="3" width="15.42578125" style="2" customWidth="1"/>
    <col min="4" max="4" width="14" style="2" customWidth="1"/>
    <col min="5" max="5" width="18.42578125" style="2" customWidth="1"/>
    <col min="6" max="6" width="16.42578125" style="2" customWidth="1"/>
    <col min="7" max="7" width="14.28515625" style="2" customWidth="1"/>
    <col min="8" max="8" width="8.85546875" style="2"/>
    <col min="9" max="9" width="19.7109375" style="2" customWidth="1"/>
    <col min="10" max="10" width="10.5703125" style="2" customWidth="1"/>
    <col min="11" max="11" width="11.28515625" style="2" customWidth="1"/>
    <col min="12" max="12" width="10.28515625" style="2" customWidth="1"/>
    <col min="13" max="13" width="14.7109375" style="2" customWidth="1"/>
    <col min="14" max="16384" width="8.85546875" style="2"/>
  </cols>
  <sheetData>
    <row r="1" spans="2:12" x14ac:dyDescent="0.2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x14ac:dyDescent="0.2">
      <c r="B2" s="1"/>
      <c r="C2" s="1"/>
      <c r="D2" s="1"/>
      <c r="E2" s="1"/>
      <c r="F2" s="1"/>
      <c r="G2" s="1"/>
      <c r="H2" s="1"/>
      <c r="I2" s="3" t="s">
        <v>0</v>
      </c>
      <c r="J2" s="4" t="s">
        <v>1</v>
      </c>
      <c r="K2" s="1"/>
      <c r="L2" s="1"/>
    </row>
    <row r="3" spans="2:12" x14ac:dyDescent="0.2">
      <c r="B3" s="1"/>
      <c r="C3" s="1"/>
      <c r="D3" s="1"/>
      <c r="E3" s="1"/>
      <c r="F3" s="1"/>
      <c r="G3" s="37" t="s">
        <v>311</v>
      </c>
      <c r="H3" s="1"/>
      <c r="I3" s="1"/>
      <c r="J3" s="1"/>
      <c r="K3" s="1"/>
      <c r="L3" s="1"/>
    </row>
    <row r="4" spans="2:12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2:12" x14ac:dyDescent="0.2"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2:12" ht="4.9000000000000004" customHeight="1" x14ac:dyDescent="0.2"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2:12" x14ac:dyDescent="0.2">
      <c r="B7" s="3" t="s">
        <v>2</v>
      </c>
      <c r="C7" s="1"/>
      <c r="D7" s="1"/>
      <c r="E7" s="1"/>
      <c r="F7" s="1"/>
      <c r="G7" s="1"/>
      <c r="H7" s="1"/>
      <c r="I7" s="5" t="s">
        <v>3</v>
      </c>
      <c r="J7" s="1"/>
      <c r="K7" s="1"/>
      <c r="L7" s="1"/>
    </row>
    <row r="8" spans="2:12" x14ac:dyDescent="0.2">
      <c r="B8" s="3" t="s">
        <v>4</v>
      </c>
      <c r="C8" s="1"/>
      <c r="D8" s="1"/>
      <c r="E8" s="1"/>
      <c r="F8" s="1"/>
      <c r="G8" s="1"/>
      <c r="H8" s="1"/>
      <c r="I8" s="3" t="s">
        <v>5</v>
      </c>
      <c r="J8" s="1"/>
      <c r="K8" s="1"/>
      <c r="L8" s="1"/>
    </row>
    <row r="9" spans="2:12" x14ac:dyDescent="0.2">
      <c r="B9" s="3" t="s">
        <v>6</v>
      </c>
      <c r="C9" s="1"/>
      <c r="D9" s="1"/>
      <c r="E9" s="1"/>
      <c r="F9" s="1"/>
      <c r="G9" s="1"/>
      <c r="H9" s="1"/>
      <c r="I9" s="3" t="s">
        <v>7</v>
      </c>
      <c r="J9" s="1"/>
      <c r="K9" s="1"/>
      <c r="L9" s="1"/>
    </row>
    <row r="10" spans="2:12" x14ac:dyDescent="0.2">
      <c r="B10" s="3" t="s">
        <v>8</v>
      </c>
      <c r="C10" s="1"/>
      <c r="D10" s="1"/>
      <c r="E10" s="1"/>
      <c r="F10" s="1"/>
      <c r="G10" s="1"/>
      <c r="H10" s="1"/>
      <c r="I10" s="6" t="s">
        <v>9</v>
      </c>
      <c r="J10" s="1"/>
      <c r="K10" s="1"/>
      <c r="L10" s="1"/>
    </row>
    <row r="11" spans="2:12" x14ac:dyDescent="0.2">
      <c r="B11" s="3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2:12" x14ac:dyDescent="0.2">
      <c r="B12" s="3" t="s">
        <v>11</v>
      </c>
      <c r="C12" s="1"/>
      <c r="D12" s="1"/>
      <c r="E12" s="1"/>
      <c r="F12" s="1"/>
      <c r="G12" s="1"/>
      <c r="H12" s="1"/>
      <c r="I12" s="6" t="s">
        <v>12</v>
      </c>
      <c r="J12" s="6" t="s">
        <v>13</v>
      </c>
      <c r="K12" s="6"/>
      <c r="L12" s="1"/>
    </row>
    <row r="13" spans="2:12" ht="4.1500000000000004" customHeight="1" thickBot="1" x14ac:dyDescent="0.25">
      <c r="B13" s="3"/>
      <c r="C13" s="1"/>
      <c r="D13" s="1"/>
      <c r="E13" s="1"/>
      <c r="F13" s="6"/>
      <c r="G13" s="6"/>
      <c r="H13" s="6"/>
      <c r="I13" s="1"/>
      <c r="J13" s="1"/>
      <c r="K13" s="1"/>
      <c r="L13" s="1"/>
    </row>
    <row r="14" spans="2:12" ht="13.5" thickBot="1" x14ac:dyDescent="0.25">
      <c r="B14" s="7"/>
      <c r="C14" s="1"/>
      <c r="D14" s="1"/>
      <c r="E14" s="1"/>
      <c r="F14" s="1"/>
      <c r="G14" s="1"/>
      <c r="H14" s="1"/>
      <c r="I14" s="44" t="s">
        <v>14</v>
      </c>
      <c r="J14" s="45"/>
      <c r="K14" s="8" t="s">
        <v>15</v>
      </c>
      <c r="L14" s="9"/>
    </row>
    <row r="15" spans="2:12" ht="6" customHeight="1" thickBot="1" x14ac:dyDescent="0.25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2:12" ht="19.7" customHeight="1" thickTop="1" x14ac:dyDescent="0.2">
      <c r="B16" s="46" t="s">
        <v>16</v>
      </c>
      <c r="C16" s="46"/>
      <c r="D16" s="46"/>
      <c r="E16" s="46"/>
      <c r="F16" s="46"/>
      <c r="G16" s="46"/>
      <c r="H16" s="46"/>
      <c r="I16" s="46"/>
      <c r="J16" s="46"/>
      <c r="K16" s="46"/>
      <c r="L16" s="46"/>
    </row>
    <row r="17" spans="1:13" ht="15.6" customHeight="1" x14ac:dyDescent="0.2">
      <c r="B17" s="47">
        <v>45838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</row>
    <row r="18" spans="1:13" x14ac:dyDescent="0.2">
      <c r="B18" s="11" t="s">
        <v>307</v>
      </c>
      <c r="C18" s="11" t="s">
        <v>308</v>
      </c>
      <c r="D18" s="11"/>
      <c r="E18" s="12"/>
      <c r="F18" s="11" t="s">
        <v>308</v>
      </c>
      <c r="G18" s="11"/>
      <c r="H18" s="11"/>
      <c r="I18" s="1"/>
      <c r="J18" s="11"/>
      <c r="K18" s="11"/>
      <c r="L18" s="11"/>
    </row>
    <row r="19" spans="1:13" ht="15" x14ac:dyDescent="0.25">
      <c r="A19" s="2" t="s">
        <v>18</v>
      </c>
      <c r="B19" s="11" t="s">
        <v>19</v>
      </c>
      <c r="C19" s="13" t="s">
        <v>20</v>
      </c>
      <c r="D19" s="11"/>
      <c r="E19" s="12"/>
      <c r="F19" s="13" t="s">
        <v>20</v>
      </c>
      <c r="G19" s="1"/>
      <c r="H19" s="1"/>
      <c r="I19" s="1"/>
      <c r="J19" s="1"/>
      <c r="K19" s="1"/>
      <c r="L19" s="11"/>
    </row>
    <row r="20" spans="1:13" ht="13.5" thickBot="1" x14ac:dyDescent="0.25">
      <c r="A20" s="2">
        <v>53</v>
      </c>
      <c r="B20" s="11" t="s">
        <v>21</v>
      </c>
      <c r="C20" s="14">
        <v>124</v>
      </c>
      <c r="D20" s="11"/>
      <c r="E20" s="12"/>
      <c r="F20" s="14">
        <v>124</v>
      </c>
      <c r="G20" s="15"/>
      <c r="H20" s="16"/>
      <c r="I20" s="16"/>
      <c r="J20" s="40" t="s">
        <v>322</v>
      </c>
      <c r="K20" s="11"/>
      <c r="L20" s="11"/>
    </row>
    <row r="21" spans="1:13" ht="13.9" customHeight="1" thickBot="1" x14ac:dyDescent="0.25">
      <c r="A21" s="2" t="s">
        <v>22</v>
      </c>
      <c r="B21" s="11" t="s">
        <v>23</v>
      </c>
      <c r="C21" s="14">
        <v>4261720</v>
      </c>
      <c r="E21" s="12"/>
      <c r="F21" s="14">
        <v>4261720</v>
      </c>
      <c r="G21" s="15"/>
      <c r="H21" s="16"/>
      <c r="I21" s="17" t="s">
        <v>24</v>
      </c>
      <c r="J21" s="48">
        <f>L81</f>
        <v>741.8099999999996</v>
      </c>
      <c r="K21" s="49"/>
      <c r="L21" s="11"/>
    </row>
    <row r="22" spans="1:13" x14ac:dyDescent="0.2">
      <c r="A22" s="2">
        <v>0</v>
      </c>
      <c r="B22" s="11" t="s">
        <v>26</v>
      </c>
      <c r="C22" s="14" t="s">
        <v>27</v>
      </c>
      <c r="D22" s="11"/>
      <c r="E22" s="12"/>
      <c r="F22" s="14" t="s">
        <v>27</v>
      </c>
      <c r="G22" s="12"/>
      <c r="H22" s="11"/>
      <c r="I22" s="11"/>
      <c r="J22" s="11"/>
      <c r="K22" s="11"/>
      <c r="L22" s="11"/>
    </row>
    <row r="23" spans="1:13" ht="4.1500000000000004" customHeight="1" x14ac:dyDescent="0.2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</row>
    <row r="24" spans="1:13" s="20" customFormat="1" ht="22.5" x14ac:dyDescent="0.2">
      <c r="A24" s="18" t="s">
        <v>28</v>
      </c>
      <c r="B24" s="19" t="s">
        <v>29</v>
      </c>
      <c r="C24" s="19" t="s">
        <v>30</v>
      </c>
      <c r="D24" s="19" t="s">
        <v>31</v>
      </c>
      <c r="E24" s="19" t="s">
        <v>32</v>
      </c>
      <c r="F24" s="19" t="s">
        <v>33</v>
      </c>
      <c r="G24" s="19" t="s">
        <v>34</v>
      </c>
      <c r="H24" s="19" t="s">
        <v>35</v>
      </c>
      <c r="I24" s="19" t="s">
        <v>36</v>
      </c>
      <c r="J24" s="19" t="s">
        <v>37</v>
      </c>
      <c r="K24" s="19" t="s">
        <v>38</v>
      </c>
      <c r="L24" s="19" t="s">
        <v>39</v>
      </c>
      <c r="M24" s="20" t="s">
        <v>310</v>
      </c>
    </row>
    <row r="25" spans="1:13" ht="22.5" x14ac:dyDescent="0.2">
      <c r="A25" s="21">
        <v>1</v>
      </c>
      <c r="B25" s="22">
        <v>483</v>
      </c>
      <c r="C25" s="23" t="s">
        <v>40</v>
      </c>
      <c r="D25" s="24">
        <v>67810119</v>
      </c>
      <c r="E25" s="25" t="s">
        <v>41</v>
      </c>
      <c r="F25" s="26">
        <v>45819</v>
      </c>
      <c r="G25" s="25">
        <v>3073061</v>
      </c>
      <c r="H25" s="23" t="s">
        <v>42</v>
      </c>
      <c r="I25" s="25" t="s">
        <v>43</v>
      </c>
      <c r="J25" s="27">
        <v>66</v>
      </c>
      <c r="K25" s="27">
        <v>55.92</v>
      </c>
      <c r="L25" s="27">
        <v>10.08</v>
      </c>
      <c r="M25" s="2" t="s">
        <v>309</v>
      </c>
    </row>
    <row r="26" spans="1:13" x14ac:dyDescent="0.2">
      <c r="A26" s="21">
        <v>2</v>
      </c>
      <c r="B26" s="22">
        <v>483</v>
      </c>
      <c r="C26" s="23" t="s">
        <v>40</v>
      </c>
      <c r="D26" s="24">
        <v>67810119</v>
      </c>
      <c r="E26" s="25" t="s">
        <v>41</v>
      </c>
      <c r="F26" s="26">
        <v>45819</v>
      </c>
      <c r="G26" s="25">
        <v>3074176</v>
      </c>
      <c r="H26" s="23" t="s">
        <v>44</v>
      </c>
      <c r="I26" s="25" t="s">
        <v>45</v>
      </c>
      <c r="J26" s="27">
        <v>93</v>
      </c>
      <c r="K26" s="27">
        <v>83.35</v>
      </c>
      <c r="L26" s="27">
        <v>9.65</v>
      </c>
      <c r="M26" s="2" t="s">
        <v>309</v>
      </c>
    </row>
    <row r="27" spans="1:13" ht="22.5" x14ac:dyDescent="0.2">
      <c r="A27" s="21">
        <v>3</v>
      </c>
      <c r="B27" s="22">
        <v>483</v>
      </c>
      <c r="C27" s="23" t="s">
        <v>40</v>
      </c>
      <c r="D27" s="24">
        <v>67810119</v>
      </c>
      <c r="E27" s="25" t="s">
        <v>41</v>
      </c>
      <c r="F27" s="26">
        <v>45819</v>
      </c>
      <c r="G27" s="25">
        <v>3076254</v>
      </c>
      <c r="H27" s="23" t="s">
        <v>46</v>
      </c>
      <c r="I27" s="25" t="s">
        <v>47</v>
      </c>
      <c r="J27" s="27">
        <v>93</v>
      </c>
      <c r="K27" s="27">
        <v>80.37</v>
      </c>
      <c r="L27" s="27">
        <v>12.63</v>
      </c>
      <c r="M27" s="2" t="s">
        <v>309</v>
      </c>
    </row>
    <row r="28" spans="1:13" ht="33.75" x14ac:dyDescent="0.2">
      <c r="A28" s="21">
        <v>4</v>
      </c>
      <c r="B28" s="22">
        <v>483</v>
      </c>
      <c r="C28" s="23" t="s">
        <v>40</v>
      </c>
      <c r="D28" s="24">
        <v>67810119</v>
      </c>
      <c r="E28" s="25" t="s">
        <v>41</v>
      </c>
      <c r="F28" s="26">
        <v>45819</v>
      </c>
      <c r="G28" s="25">
        <v>3076486</v>
      </c>
      <c r="H28" s="23" t="s">
        <v>48</v>
      </c>
      <c r="I28" s="25" t="s">
        <v>49</v>
      </c>
      <c r="J28" s="27">
        <v>124</v>
      </c>
      <c r="K28" s="27">
        <v>100.48</v>
      </c>
      <c r="L28" s="27">
        <v>23.52</v>
      </c>
      <c r="M28" s="2" t="s">
        <v>309</v>
      </c>
    </row>
    <row r="29" spans="1:13" x14ac:dyDescent="0.2">
      <c r="A29" s="21">
        <v>5</v>
      </c>
      <c r="B29" s="22">
        <v>483</v>
      </c>
      <c r="C29" s="23" t="s">
        <v>40</v>
      </c>
      <c r="D29" s="24">
        <v>67810119</v>
      </c>
      <c r="E29" s="25" t="s">
        <v>41</v>
      </c>
      <c r="F29" s="26">
        <v>45819</v>
      </c>
      <c r="G29" s="25">
        <v>3077559</v>
      </c>
      <c r="H29" s="23" t="s">
        <v>50</v>
      </c>
      <c r="I29" s="25" t="s">
        <v>51</v>
      </c>
      <c r="J29" s="27">
        <v>109</v>
      </c>
      <c r="K29" s="27">
        <v>101.75</v>
      </c>
      <c r="L29" s="27">
        <v>7.25</v>
      </c>
      <c r="M29" s="2" t="s">
        <v>309</v>
      </c>
    </row>
    <row r="30" spans="1:13" ht="22.5" x14ac:dyDescent="0.2">
      <c r="A30" s="21">
        <v>6</v>
      </c>
      <c r="B30" s="22">
        <v>483</v>
      </c>
      <c r="C30" s="23" t="s">
        <v>40</v>
      </c>
      <c r="D30" s="24">
        <v>67810119</v>
      </c>
      <c r="E30" s="25" t="s">
        <v>41</v>
      </c>
      <c r="F30" s="26">
        <v>45819</v>
      </c>
      <c r="G30" s="25">
        <v>3086303</v>
      </c>
      <c r="H30" s="23" t="s">
        <v>52</v>
      </c>
      <c r="I30" s="25" t="s">
        <v>53</v>
      </c>
      <c r="J30" s="27">
        <v>87</v>
      </c>
      <c r="K30" s="27">
        <v>80.989999999999995</v>
      </c>
      <c r="L30" s="27">
        <v>6.01</v>
      </c>
      <c r="M30" s="2" t="s">
        <v>309</v>
      </c>
    </row>
    <row r="31" spans="1:13" ht="22.5" x14ac:dyDescent="0.2">
      <c r="A31" s="21">
        <v>7</v>
      </c>
      <c r="B31" s="22">
        <v>483</v>
      </c>
      <c r="C31" s="23" t="s">
        <v>40</v>
      </c>
      <c r="D31" s="24">
        <v>67810119</v>
      </c>
      <c r="E31" s="25" t="s">
        <v>41</v>
      </c>
      <c r="F31" s="26">
        <v>45819</v>
      </c>
      <c r="G31" s="25">
        <v>3086428</v>
      </c>
      <c r="H31" s="23" t="s">
        <v>54</v>
      </c>
      <c r="I31" s="25" t="s">
        <v>55</v>
      </c>
      <c r="J31" s="27">
        <v>82</v>
      </c>
      <c r="K31" s="27">
        <v>73.59</v>
      </c>
      <c r="L31" s="27">
        <v>8.41</v>
      </c>
      <c r="M31" s="2" t="s">
        <v>309</v>
      </c>
    </row>
    <row r="32" spans="1:13" ht="22.5" x14ac:dyDescent="0.2">
      <c r="A32" s="21">
        <v>8</v>
      </c>
      <c r="B32" s="22">
        <v>483</v>
      </c>
      <c r="C32" s="23" t="s">
        <v>40</v>
      </c>
      <c r="D32" s="24">
        <v>67810119</v>
      </c>
      <c r="E32" s="25" t="s">
        <v>41</v>
      </c>
      <c r="F32" s="26">
        <v>45818</v>
      </c>
      <c r="G32" s="25">
        <v>7301021</v>
      </c>
      <c r="H32" s="23" t="s">
        <v>56</v>
      </c>
      <c r="I32" s="25" t="s">
        <v>57</v>
      </c>
      <c r="J32" s="27">
        <v>189</v>
      </c>
      <c r="K32" s="27">
        <v>124.97</v>
      </c>
      <c r="L32" s="27">
        <v>64.03</v>
      </c>
      <c r="M32" s="2" t="s">
        <v>309</v>
      </c>
    </row>
    <row r="33" spans="1:13" ht="22.5" x14ac:dyDescent="0.2">
      <c r="A33" s="21">
        <v>9</v>
      </c>
      <c r="B33" s="22">
        <v>483</v>
      </c>
      <c r="C33" s="23" t="s">
        <v>40</v>
      </c>
      <c r="D33" s="24">
        <v>67808295</v>
      </c>
      <c r="E33" s="25" t="s">
        <v>41</v>
      </c>
      <c r="F33" s="26">
        <v>45810</v>
      </c>
      <c r="G33" s="25">
        <v>3073061</v>
      </c>
      <c r="H33" s="23" t="s">
        <v>42</v>
      </c>
      <c r="I33" s="25" t="s">
        <v>43</v>
      </c>
      <c r="J33" s="27">
        <v>66</v>
      </c>
      <c r="K33" s="27">
        <v>55.92</v>
      </c>
      <c r="L33" s="27">
        <v>10.08</v>
      </c>
      <c r="M33" s="2" t="s">
        <v>309</v>
      </c>
    </row>
    <row r="34" spans="1:13" ht="22.5" x14ac:dyDescent="0.2">
      <c r="A34" s="21">
        <v>10</v>
      </c>
      <c r="B34" s="22">
        <v>483</v>
      </c>
      <c r="C34" s="23" t="s">
        <v>40</v>
      </c>
      <c r="D34" s="24">
        <v>67808295</v>
      </c>
      <c r="E34" s="25" t="s">
        <v>41</v>
      </c>
      <c r="F34" s="26">
        <v>45817</v>
      </c>
      <c r="G34" s="25">
        <v>3073061</v>
      </c>
      <c r="H34" s="23" t="s">
        <v>42</v>
      </c>
      <c r="I34" s="25" t="s">
        <v>43</v>
      </c>
      <c r="J34" s="27">
        <v>66</v>
      </c>
      <c r="K34" s="27">
        <v>55.92</v>
      </c>
      <c r="L34" s="27">
        <v>10.08</v>
      </c>
      <c r="M34" s="2" t="s">
        <v>309</v>
      </c>
    </row>
    <row r="35" spans="1:13" ht="22.5" x14ac:dyDescent="0.2">
      <c r="A35" s="21">
        <v>11</v>
      </c>
      <c r="B35" s="22">
        <v>483</v>
      </c>
      <c r="C35" s="23" t="s">
        <v>40</v>
      </c>
      <c r="D35" s="24">
        <v>67808295</v>
      </c>
      <c r="E35" s="25" t="s">
        <v>41</v>
      </c>
      <c r="F35" s="26">
        <v>45820</v>
      </c>
      <c r="G35" s="25">
        <v>3073061</v>
      </c>
      <c r="H35" s="23" t="s">
        <v>42</v>
      </c>
      <c r="I35" s="25" t="s">
        <v>43</v>
      </c>
      <c r="J35" s="27">
        <v>66</v>
      </c>
      <c r="K35" s="27">
        <v>55.92</v>
      </c>
      <c r="L35" s="27">
        <v>10.08</v>
      </c>
      <c r="M35" s="2" t="s">
        <v>309</v>
      </c>
    </row>
    <row r="36" spans="1:13" ht="22.5" x14ac:dyDescent="0.2">
      <c r="A36" s="21">
        <v>12</v>
      </c>
      <c r="B36" s="22">
        <v>483</v>
      </c>
      <c r="C36" s="23" t="s">
        <v>40</v>
      </c>
      <c r="D36" s="24">
        <v>67808295</v>
      </c>
      <c r="E36" s="25" t="s">
        <v>41</v>
      </c>
      <c r="F36" s="26">
        <v>45825</v>
      </c>
      <c r="G36" s="25">
        <v>3073061</v>
      </c>
      <c r="H36" s="23" t="s">
        <v>42</v>
      </c>
      <c r="I36" s="25" t="s">
        <v>43</v>
      </c>
      <c r="J36" s="27">
        <v>66</v>
      </c>
      <c r="K36" s="27">
        <v>55.92</v>
      </c>
      <c r="L36" s="27">
        <v>10.08</v>
      </c>
      <c r="M36" s="2" t="s">
        <v>309</v>
      </c>
    </row>
    <row r="37" spans="1:13" ht="22.5" x14ac:dyDescent="0.2">
      <c r="A37" s="21">
        <v>13</v>
      </c>
      <c r="B37" s="22">
        <v>483</v>
      </c>
      <c r="C37" s="23" t="s">
        <v>40</v>
      </c>
      <c r="D37" s="24">
        <v>67808295</v>
      </c>
      <c r="E37" s="25" t="s">
        <v>41</v>
      </c>
      <c r="F37" s="26">
        <v>45832</v>
      </c>
      <c r="G37" s="25">
        <v>3073061</v>
      </c>
      <c r="H37" s="23" t="s">
        <v>42</v>
      </c>
      <c r="I37" s="25" t="s">
        <v>43</v>
      </c>
      <c r="J37" s="27">
        <v>66</v>
      </c>
      <c r="K37" s="27">
        <v>55.92</v>
      </c>
      <c r="L37" s="27">
        <v>10.08</v>
      </c>
      <c r="M37" s="2" t="s">
        <v>309</v>
      </c>
    </row>
    <row r="38" spans="1:13" ht="22.5" x14ac:dyDescent="0.2">
      <c r="A38" s="21">
        <v>14</v>
      </c>
      <c r="B38" s="22">
        <v>483</v>
      </c>
      <c r="C38" s="23" t="s">
        <v>40</v>
      </c>
      <c r="D38" s="24">
        <v>67808295</v>
      </c>
      <c r="E38" s="25" t="s">
        <v>41</v>
      </c>
      <c r="F38" s="26">
        <v>45810</v>
      </c>
      <c r="G38" s="25">
        <v>3073749</v>
      </c>
      <c r="H38" s="23" t="s">
        <v>58</v>
      </c>
      <c r="I38" s="25" t="s">
        <v>59</v>
      </c>
      <c r="J38" s="27">
        <v>97</v>
      </c>
      <c r="K38" s="27">
        <v>83.98</v>
      </c>
      <c r="L38" s="27">
        <v>13.02</v>
      </c>
      <c r="M38" s="2" t="s">
        <v>309</v>
      </c>
    </row>
    <row r="39" spans="1:13" ht="22.5" x14ac:dyDescent="0.2">
      <c r="A39" s="21">
        <v>15</v>
      </c>
      <c r="B39" s="22">
        <v>483</v>
      </c>
      <c r="C39" s="23" t="s">
        <v>40</v>
      </c>
      <c r="D39" s="24">
        <v>67808295</v>
      </c>
      <c r="E39" s="25" t="s">
        <v>41</v>
      </c>
      <c r="F39" s="26">
        <v>45810</v>
      </c>
      <c r="G39" s="25">
        <v>3073749</v>
      </c>
      <c r="H39" s="23" t="s">
        <v>58</v>
      </c>
      <c r="I39" s="25" t="s">
        <v>59</v>
      </c>
      <c r="J39" s="27">
        <v>97</v>
      </c>
      <c r="K39" s="27">
        <v>83.98</v>
      </c>
      <c r="L39" s="27">
        <v>13.02</v>
      </c>
      <c r="M39" s="2" t="s">
        <v>309</v>
      </c>
    </row>
    <row r="40" spans="1:13" ht="22.5" x14ac:dyDescent="0.2">
      <c r="A40" s="21">
        <v>16</v>
      </c>
      <c r="B40" s="22">
        <v>483</v>
      </c>
      <c r="C40" s="23" t="s">
        <v>40</v>
      </c>
      <c r="D40" s="24">
        <v>67808295</v>
      </c>
      <c r="E40" s="25" t="s">
        <v>41</v>
      </c>
      <c r="F40" s="26">
        <v>45810</v>
      </c>
      <c r="G40" s="25">
        <v>3073749</v>
      </c>
      <c r="H40" s="23" t="s">
        <v>58</v>
      </c>
      <c r="I40" s="25" t="s">
        <v>59</v>
      </c>
      <c r="J40" s="27">
        <v>97</v>
      </c>
      <c r="K40" s="27">
        <v>83.98</v>
      </c>
      <c r="L40" s="27">
        <v>13.02</v>
      </c>
      <c r="M40" s="2" t="s">
        <v>309</v>
      </c>
    </row>
    <row r="41" spans="1:13" ht="22.5" x14ac:dyDescent="0.2">
      <c r="A41" s="21">
        <v>17</v>
      </c>
      <c r="B41" s="22">
        <v>483</v>
      </c>
      <c r="C41" s="23" t="s">
        <v>40</v>
      </c>
      <c r="D41" s="24">
        <v>67808295</v>
      </c>
      <c r="E41" s="25" t="s">
        <v>41</v>
      </c>
      <c r="F41" s="26">
        <v>45817</v>
      </c>
      <c r="G41" s="25">
        <v>3073749</v>
      </c>
      <c r="H41" s="23" t="s">
        <v>58</v>
      </c>
      <c r="I41" s="25" t="s">
        <v>59</v>
      </c>
      <c r="J41" s="27">
        <v>97</v>
      </c>
      <c r="K41" s="27">
        <v>83.98</v>
      </c>
      <c r="L41" s="27">
        <v>13.02</v>
      </c>
      <c r="M41" s="2" t="s">
        <v>309</v>
      </c>
    </row>
    <row r="42" spans="1:13" ht="22.5" x14ac:dyDescent="0.2">
      <c r="A42" s="21">
        <v>18</v>
      </c>
      <c r="B42" s="22">
        <v>483</v>
      </c>
      <c r="C42" s="23" t="s">
        <v>40</v>
      </c>
      <c r="D42" s="24">
        <v>67808295</v>
      </c>
      <c r="E42" s="25" t="s">
        <v>41</v>
      </c>
      <c r="F42" s="26">
        <v>45817</v>
      </c>
      <c r="G42" s="25">
        <v>3073749</v>
      </c>
      <c r="H42" s="23" t="s">
        <v>58</v>
      </c>
      <c r="I42" s="25" t="s">
        <v>59</v>
      </c>
      <c r="J42" s="27">
        <v>97</v>
      </c>
      <c r="K42" s="27">
        <v>83.98</v>
      </c>
      <c r="L42" s="27">
        <v>13.02</v>
      </c>
      <c r="M42" s="2" t="s">
        <v>309</v>
      </c>
    </row>
    <row r="43" spans="1:13" ht="22.5" x14ac:dyDescent="0.2">
      <c r="A43" s="21">
        <v>19</v>
      </c>
      <c r="B43" s="22">
        <v>483</v>
      </c>
      <c r="C43" s="23" t="s">
        <v>40</v>
      </c>
      <c r="D43" s="24">
        <v>67808295</v>
      </c>
      <c r="E43" s="25" t="s">
        <v>41</v>
      </c>
      <c r="F43" s="26">
        <v>45817</v>
      </c>
      <c r="G43" s="25">
        <v>3073749</v>
      </c>
      <c r="H43" s="23" t="s">
        <v>58</v>
      </c>
      <c r="I43" s="25" t="s">
        <v>59</v>
      </c>
      <c r="J43" s="27">
        <v>97</v>
      </c>
      <c r="K43" s="27">
        <v>83.98</v>
      </c>
      <c r="L43" s="27">
        <v>13.02</v>
      </c>
      <c r="M43" s="2" t="s">
        <v>309</v>
      </c>
    </row>
    <row r="44" spans="1:13" x14ac:dyDescent="0.2">
      <c r="A44" s="21">
        <v>20</v>
      </c>
      <c r="B44" s="22">
        <v>483</v>
      </c>
      <c r="C44" s="23" t="s">
        <v>40</v>
      </c>
      <c r="D44" s="24">
        <v>67808295</v>
      </c>
      <c r="E44" s="25" t="s">
        <v>41</v>
      </c>
      <c r="F44" s="26">
        <v>45810</v>
      </c>
      <c r="G44" s="25">
        <v>3074176</v>
      </c>
      <c r="H44" s="23" t="s">
        <v>44</v>
      </c>
      <c r="I44" s="25" t="s">
        <v>45</v>
      </c>
      <c r="J44" s="27">
        <v>93</v>
      </c>
      <c r="K44" s="27">
        <v>83.35</v>
      </c>
      <c r="L44" s="27">
        <v>9.65</v>
      </c>
      <c r="M44" s="2" t="s">
        <v>309</v>
      </c>
    </row>
    <row r="45" spans="1:13" x14ac:dyDescent="0.2">
      <c r="A45" s="21">
        <v>21</v>
      </c>
      <c r="B45" s="22">
        <v>483</v>
      </c>
      <c r="C45" s="23" t="s">
        <v>40</v>
      </c>
      <c r="D45" s="24">
        <v>67808295</v>
      </c>
      <c r="E45" s="25" t="s">
        <v>41</v>
      </c>
      <c r="F45" s="26">
        <v>45817</v>
      </c>
      <c r="G45" s="25">
        <v>3074176</v>
      </c>
      <c r="H45" s="23" t="s">
        <v>44</v>
      </c>
      <c r="I45" s="25" t="s">
        <v>45</v>
      </c>
      <c r="J45" s="27">
        <v>93</v>
      </c>
      <c r="K45" s="27">
        <v>83.35</v>
      </c>
      <c r="L45" s="27">
        <v>9.65</v>
      </c>
      <c r="M45" s="2" t="s">
        <v>309</v>
      </c>
    </row>
    <row r="46" spans="1:13" x14ac:dyDescent="0.2">
      <c r="A46" s="21">
        <v>22</v>
      </c>
      <c r="B46" s="22">
        <v>483</v>
      </c>
      <c r="C46" s="23" t="s">
        <v>40</v>
      </c>
      <c r="D46" s="24">
        <v>67808295</v>
      </c>
      <c r="E46" s="25" t="s">
        <v>41</v>
      </c>
      <c r="F46" s="26">
        <v>45820</v>
      </c>
      <c r="G46" s="25">
        <v>3074176</v>
      </c>
      <c r="H46" s="23" t="s">
        <v>44</v>
      </c>
      <c r="I46" s="25" t="s">
        <v>45</v>
      </c>
      <c r="J46" s="27">
        <v>93</v>
      </c>
      <c r="K46" s="27">
        <v>83.35</v>
      </c>
      <c r="L46" s="27">
        <v>9.65</v>
      </c>
      <c r="M46" s="2" t="s">
        <v>309</v>
      </c>
    </row>
    <row r="47" spans="1:13" x14ac:dyDescent="0.2">
      <c r="A47" s="21">
        <v>23</v>
      </c>
      <c r="B47" s="22">
        <v>483</v>
      </c>
      <c r="C47" s="23" t="s">
        <v>40</v>
      </c>
      <c r="D47" s="24">
        <v>67808295</v>
      </c>
      <c r="E47" s="25" t="s">
        <v>41</v>
      </c>
      <c r="F47" s="26">
        <v>45825</v>
      </c>
      <c r="G47" s="25">
        <v>3074176</v>
      </c>
      <c r="H47" s="23" t="s">
        <v>44</v>
      </c>
      <c r="I47" s="25" t="s">
        <v>45</v>
      </c>
      <c r="J47" s="27">
        <v>93</v>
      </c>
      <c r="K47" s="27">
        <v>83.35</v>
      </c>
      <c r="L47" s="27">
        <v>9.65</v>
      </c>
      <c r="M47" s="2" t="s">
        <v>309</v>
      </c>
    </row>
    <row r="48" spans="1:13" x14ac:dyDescent="0.2">
      <c r="A48" s="21">
        <v>24</v>
      </c>
      <c r="B48" s="22">
        <v>483</v>
      </c>
      <c r="C48" s="23" t="s">
        <v>40</v>
      </c>
      <c r="D48" s="24">
        <v>67808295</v>
      </c>
      <c r="E48" s="25" t="s">
        <v>41</v>
      </c>
      <c r="F48" s="26">
        <v>45832</v>
      </c>
      <c r="G48" s="25">
        <v>3074176</v>
      </c>
      <c r="H48" s="23" t="s">
        <v>44</v>
      </c>
      <c r="I48" s="25" t="s">
        <v>45</v>
      </c>
      <c r="J48" s="27">
        <v>93</v>
      </c>
      <c r="K48" s="27">
        <v>83.35</v>
      </c>
      <c r="L48" s="27">
        <v>9.65</v>
      </c>
      <c r="M48" s="2" t="s">
        <v>309</v>
      </c>
    </row>
    <row r="49" spans="1:13" ht="22.5" x14ac:dyDescent="0.2">
      <c r="A49" s="21">
        <v>25</v>
      </c>
      <c r="B49" s="22">
        <v>483</v>
      </c>
      <c r="C49" s="23" t="s">
        <v>40</v>
      </c>
      <c r="D49" s="24">
        <v>67808295</v>
      </c>
      <c r="E49" s="25" t="s">
        <v>41</v>
      </c>
      <c r="F49" s="26">
        <v>45810</v>
      </c>
      <c r="G49" s="25">
        <v>3076254</v>
      </c>
      <c r="H49" s="23" t="s">
        <v>46</v>
      </c>
      <c r="I49" s="25" t="s">
        <v>47</v>
      </c>
      <c r="J49" s="27">
        <v>93</v>
      </c>
      <c r="K49" s="27">
        <v>80.37</v>
      </c>
      <c r="L49" s="27">
        <v>12.63</v>
      </c>
      <c r="M49" s="2" t="s">
        <v>309</v>
      </c>
    </row>
    <row r="50" spans="1:13" ht="22.5" x14ac:dyDescent="0.2">
      <c r="A50" s="21">
        <v>26</v>
      </c>
      <c r="B50" s="22">
        <v>483</v>
      </c>
      <c r="C50" s="23" t="s">
        <v>40</v>
      </c>
      <c r="D50" s="24">
        <v>67808295</v>
      </c>
      <c r="E50" s="25" t="s">
        <v>41</v>
      </c>
      <c r="F50" s="26">
        <v>45817</v>
      </c>
      <c r="G50" s="25">
        <v>3076254</v>
      </c>
      <c r="H50" s="23" t="s">
        <v>46</v>
      </c>
      <c r="I50" s="25" t="s">
        <v>47</v>
      </c>
      <c r="J50" s="27">
        <v>93</v>
      </c>
      <c r="K50" s="27">
        <v>80.37</v>
      </c>
      <c r="L50" s="27">
        <v>12.63</v>
      </c>
      <c r="M50" s="2" t="s">
        <v>309</v>
      </c>
    </row>
    <row r="51" spans="1:13" ht="22.5" x14ac:dyDescent="0.2">
      <c r="A51" s="21">
        <v>27</v>
      </c>
      <c r="B51" s="22">
        <v>483</v>
      </c>
      <c r="C51" s="23" t="s">
        <v>40</v>
      </c>
      <c r="D51" s="24">
        <v>67808295</v>
      </c>
      <c r="E51" s="25" t="s">
        <v>41</v>
      </c>
      <c r="F51" s="26">
        <v>45820</v>
      </c>
      <c r="G51" s="25">
        <v>3076254</v>
      </c>
      <c r="H51" s="23" t="s">
        <v>46</v>
      </c>
      <c r="I51" s="25" t="s">
        <v>47</v>
      </c>
      <c r="J51" s="27">
        <v>93</v>
      </c>
      <c r="K51" s="27">
        <v>80.37</v>
      </c>
      <c r="L51" s="27">
        <v>12.63</v>
      </c>
      <c r="M51" s="2" t="s">
        <v>309</v>
      </c>
    </row>
    <row r="52" spans="1:13" ht="22.5" x14ac:dyDescent="0.2">
      <c r="A52" s="21">
        <v>28</v>
      </c>
      <c r="B52" s="22">
        <v>483</v>
      </c>
      <c r="C52" s="23" t="s">
        <v>40</v>
      </c>
      <c r="D52" s="24">
        <v>67808295</v>
      </c>
      <c r="E52" s="25" t="s">
        <v>41</v>
      </c>
      <c r="F52" s="26">
        <v>45825</v>
      </c>
      <c r="G52" s="25">
        <v>3076254</v>
      </c>
      <c r="H52" s="23" t="s">
        <v>46</v>
      </c>
      <c r="I52" s="25" t="s">
        <v>47</v>
      </c>
      <c r="J52" s="27">
        <v>93</v>
      </c>
      <c r="K52" s="27">
        <v>80.37</v>
      </c>
      <c r="L52" s="27">
        <v>12.63</v>
      </c>
      <c r="M52" s="2" t="s">
        <v>309</v>
      </c>
    </row>
    <row r="53" spans="1:13" ht="22.5" x14ac:dyDescent="0.2">
      <c r="A53" s="21">
        <v>29</v>
      </c>
      <c r="B53" s="22">
        <v>483</v>
      </c>
      <c r="C53" s="23" t="s">
        <v>40</v>
      </c>
      <c r="D53" s="24">
        <v>67808295</v>
      </c>
      <c r="E53" s="25" t="s">
        <v>41</v>
      </c>
      <c r="F53" s="26">
        <v>45832</v>
      </c>
      <c r="G53" s="25">
        <v>3076254</v>
      </c>
      <c r="H53" s="23" t="s">
        <v>46</v>
      </c>
      <c r="I53" s="25" t="s">
        <v>47</v>
      </c>
      <c r="J53" s="27">
        <v>93</v>
      </c>
      <c r="K53" s="27">
        <v>80.37</v>
      </c>
      <c r="L53" s="27">
        <v>12.63</v>
      </c>
      <c r="M53" s="2" t="s">
        <v>309</v>
      </c>
    </row>
    <row r="54" spans="1:13" ht="33.75" x14ac:dyDescent="0.2">
      <c r="A54" s="21">
        <v>30</v>
      </c>
      <c r="B54" s="22">
        <v>483</v>
      </c>
      <c r="C54" s="23" t="s">
        <v>40</v>
      </c>
      <c r="D54" s="24">
        <v>67808295</v>
      </c>
      <c r="E54" s="25" t="s">
        <v>41</v>
      </c>
      <c r="F54" s="26">
        <v>45810</v>
      </c>
      <c r="G54" s="25">
        <v>3076486</v>
      </c>
      <c r="H54" s="23" t="s">
        <v>48</v>
      </c>
      <c r="I54" s="25" t="s">
        <v>49</v>
      </c>
      <c r="J54" s="27">
        <v>124</v>
      </c>
      <c r="K54" s="27">
        <v>100.48</v>
      </c>
      <c r="L54" s="27">
        <v>23.52</v>
      </c>
      <c r="M54" s="2" t="s">
        <v>309</v>
      </c>
    </row>
    <row r="55" spans="1:13" ht="33.75" x14ac:dyDescent="0.2">
      <c r="A55" s="21">
        <v>31</v>
      </c>
      <c r="B55" s="22">
        <v>483</v>
      </c>
      <c r="C55" s="23" t="s">
        <v>40</v>
      </c>
      <c r="D55" s="24">
        <v>67808295</v>
      </c>
      <c r="E55" s="25" t="s">
        <v>41</v>
      </c>
      <c r="F55" s="26">
        <v>45817</v>
      </c>
      <c r="G55" s="25">
        <v>3076486</v>
      </c>
      <c r="H55" s="23" t="s">
        <v>48</v>
      </c>
      <c r="I55" s="25" t="s">
        <v>49</v>
      </c>
      <c r="J55" s="27">
        <v>124</v>
      </c>
      <c r="K55" s="27">
        <v>100.48</v>
      </c>
      <c r="L55" s="27">
        <v>23.52</v>
      </c>
      <c r="M55" s="2" t="s">
        <v>309</v>
      </c>
    </row>
    <row r="56" spans="1:13" ht="33.75" x14ac:dyDescent="0.2">
      <c r="A56" s="21">
        <v>32</v>
      </c>
      <c r="B56" s="22">
        <v>483</v>
      </c>
      <c r="C56" s="23" t="s">
        <v>40</v>
      </c>
      <c r="D56" s="24">
        <v>67808295</v>
      </c>
      <c r="E56" s="25" t="s">
        <v>41</v>
      </c>
      <c r="F56" s="26">
        <v>45820</v>
      </c>
      <c r="G56" s="25">
        <v>3076486</v>
      </c>
      <c r="H56" s="23" t="s">
        <v>48</v>
      </c>
      <c r="I56" s="25" t="s">
        <v>49</v>
      </c>
      <c r="J56" s="27">
        <v>124</v>
      </c>
      <c r="K56" s="27">
        <v>100.48</v>
      </c>
      <c r="L56" s="27">
        <v>23.52</v>
      </c>
      <c r="M56" s="2" t="s">
        <v>309</v>
      </c>
    </row>
    <row r="57" spans="1:13" ht="33.75" x14ac:dyDescent="0.2">
      <c r="A57" s="21">
        <v>33</v>
      </c>
      <c r="B57" s="22">
        <v>483</v>
      </c>
      <c r="C57" s="23" t="s">
        <v>40</v>
      </c>
      <c r="D57" s="24">
        <v>67808295</v>
      </c>
      <c r="E57" s="25" t="s">
        <v>41</v>
      </c>
      <c r="F57" s="26">
        <v>45825</v>
      </c>
      <c r="G57" s="25">
        <v>3076486</v>
      </c>
      <c r="H57" s="23" t="s">
        <v>48</v>
      </c>
      <c r="I57" s="25" t="s">
        <v>49</v>
      </c>
      <c r="J57" s="27">
        <v>124</v>
      </c>
      <c r="K57" s="27">
        <v>100.48</v>
      </c>
      <c r="L57" s="27">
        <v>23.52</v>
      </c>
      <c r="M57" s="2" t="s">
        <v>309</v>
      </c>
    </row>
    <row r="58" spans="1:13" ht="33.75" x14ac:dyDescent="0.2">
      <c r="A58" s="21">
        <v>34</v>
      </c>
      <c r="B58" s="22">
        <v>483</v>
      </c>
      <c r="C58" s="23" t="s">
        <v>40</v>
      </c>
      <c r="D58" s="24">
        <v>67808295</v>
      </c>
      <c r="E58" s="25" t="s">
        <v>41</v>
      </c>
      <c r="F58" s="26">
        <v>45832</v>
      </c>
      <c r="G58" s="25">
        <v>3076486</v>
      </c>
      <c r="H58" s="23" t="s">
        <v>48</v>
      </c>
      <c r="I58" s="25" t="s">
        <v>49</v>
      </c>
      <c r="J58" s="27">
        <v>124</v>
      </c>
      <c r="K58" s="27">
        <v>100.48</v>
      </c>
      <c r="L58" s="27">
        <v>23.52</v>
      </c>
      <c r="M58" s="2" t="s">
        <v>309</v>
      </c>
    </row>
    <row r="59" spans="1:13" x14ac:dyDescent="0.2">
      <c r="A59" s="21">
        <v>35</v>
      </c>
      <c r="B59" s="22">
        <v>483</v>
      </c>
      <c r="C59" s="23" t="s">
        <v>40</v>
      </c>
      <c r="D59" s="24">
        <v>67808295</v>
      </c>
      <c r="E59" s="25" t="s">
        <v>41</v>
      </c>
      <c r="F59" s="26">
        <v>45810</v>
      </c>
      <c r="G59" s="25">
        <v>3077559</v>
      </c>
      <c r="H59" s="23" t="s">
        <v>50</v>
      </c>
      <c r="I59" s="25" t="s">
        <v>51</v>
      </c>
      <c r="J59" s="27">
        <v>109</v>
      </c>
      <c r="K59" s="27">
        <v>101.75</v>
      </c>
      <c r="L59" s="27">
        <v>7.25</v>
      </c>
      <c r="M59" s="2" t="s">
        <v>309</v>
      </c>
    </row>
    <row r="60" spans="1:13" x14ac:dyDescent="0.2">
      <c r="A60" s="21">
        <v>36</v>
      </c>
      <c r="B60" s="22">
        <v>483</v>
      </c>
      <c r="C60" s="23" t="s">
        <v>40</v>
      </c>
      <c r="D60" s="24">
        <v>67808295</v>
      </c>
      <c r="E60" s="25" t="s">
        <v>41</v>
      </c>
      <c r="F60" s="26">
        <v>45817</v>
      </c>
      <c r="G60" s="25">
        <v>3077559</v>
      </c>
      <c r="H60" s="23" t="s">
        <v>50</v>
      </c>
      <c r="I60" s="25" t="s">
        <v>51</v>
      </c>
      <c r="J60" s="27">
        <v>109</v>
      </c>
      <c r="K60" s="27">
        <v>101.75</v>
      </c>
      <c r="L60" s="27">
        <v>7.25</v>
      </c>
      <c r="M60" s="2" t="s">
        <v>309</v>
      </c>
    </row>
    <row r="61" spans="1:13" x14ac:dyDescent="0.2">
      <c r="A61" s="21">
        <v>37</v>
      </c>
      <c r="B61" s="22">
        <v>483</v>
      </c>
      <c r="C61" s="23" t="s">
        <v>40</v>
      </c>
      <c r="D61" s="24">
        <v>67808295</v>
      </c>
      <c r="E61" s="25" t="s">
        <v>41</v>
      </c>
      <c r="F61" s="26">
        <v>45820</v>
      </c>
      <c r="G61" s="25">
        <v>3077559</v>
      </c>
      <c r="H61" s="23" t="s">
        <v>50</v>
      </c>
      <c r="I61" s="25" t="s">
        <v>51</v>
      </c>
      <c r="J61" s="27">
        <v>109</v>
      </c>
      <c r="K61" s="27">
        <v>101.75</v>
      </c>
      <c r="L61" s="27">
        <v>7.25</v>
      </c>
      <c r="M61" s="2" t="s">
        <v>309</v>
      </c>
    </row>
    <row r="62" spans="1:13" x14ac:dyDescent="0.2">
      <c r="A62" s="21">
        <v>38</v>
      </c>
      <c r="B62" s="22">
        <v>483</v>
      </c>
      <c r="C62" s="23" t="s">
        <v>40</v>
      </c>
      <c r="D62" s="24">
        <v>67808295</v>
      </c>
      <c r="E62" s="25" t="s">
        <v>41</v>
      </c>
      <c r="F62" s="26">
        <v>45825</v>
      </c>
      <c r="G62" s="25">
        <v>3077559</v>
      </c>
      <c r="H62" s="23" t="s">
        <v>50</v>
      </c>
      <c r="I62" s="25" t="s">
        <v>51</v>
      </c>
      <c r="J62" s="27">
        <v>109</v>
      </c>
      <c r="K62" s="27">
        <v>101.75</v>
      </c>
      <c r="L62" s="27">
        <v>7.25</v>
      </c>
      <c r="M62" s="2" t="s">
        <v>309</v>
      </c>
    </row>
    <row r="63" spans="1:13" x14ac:dyDescent="0.2">
      <c r="A63" s="21">
        <v>39</v>
      </c>
      <c r="B63" s="22">
        <v>483</v>
      </c>
      <c r="C63" s="23" t="s">
        <v>40</v>
      </c>
      <c r="D63" s="24">
        <v>67808295</v>
      </c>
      <c r="E63" s="25" t="s">
        <v>41</v>
      </c>
      <c r="F63" s="26">
        <v>45832</v>
      </c>
      <c r="G63" s="25">
        <v>3077559</v>
      </c>
      <c r="H63" s="23" t="s">
        <v>50</v>
      </c>
      <c r="I63" s="25" t="s">
        <v>51</v>
      </c>
      <c r="J63" s="27">
        <v>109</v>
      </c>
      <c r="K63" s="27">
        <v>101.75</v>
      </c>
      <c r="L63" s="27">
        <v>7.25</v>
      </c>
      <c r="M63" s="2" t="s">
        <v>309</v>
      </c>
    </row>
    <row r="64" spans="1:13" ht="22.5" x14ac:dyDescent="0.2">
      <c r="A64" s="21">
        <v>40</v>
      </c>
      <c r="B64" s="22">
        <v>483</v>
      </c>
      <c r="C64" s="23" t="s">
        <v>40</v>
      </c>
      <c r="D64" s="24">
        <v>67808295</v>
      </c>
      <c r="E64" s="25" t="s">
        <v>41</v>
      </c>
      <c r="F64" s="26">
        <v>45810</v>
      </c>
      <c r="G64" s="25">
        <v>3086303</v>
      </c>
      <c r="H64" s="23" t="s">
        <v>52</v>
      </c>
      <c r="I64" s="25" t="s">
        <v>53</v>
      </c>
      <c r="J64" s="27">
        <v>87</v>
      </c>
      <c r="K64" s="27">
        <v>80.989999999999995</v>
      </c>
      <c r="L64" s="27">
        <v>6.01</v>
      </c>
      <c r="M64" s="2" t="s">
        <v>309</v>
      </c>
    </row>
    <row r="65" spans="1:13" ht="22.5" x14ac:dyDescent="0.2">
      <c r="A65" s="21">
        <v>41</v>
      </c>
      <c r="B65" s="22">
        <v>483</v>
      </c>
      <c r="C65" s="23" t="s">
        <v>40</v>
      </c>
      <c r="D65" s="24">
        <v>67808295</v>
      </c>
      <c r="E65" s="25" t="s">
        <v>41</v>
      </c>
      <c r="F65" s="26">
        <v>45817</v>
      </c>
      <c r="G65" s="25">
        <v>3086303</v>
      </c>
      <c r="H65" s="23" t="s">
        <v>52</v>
      </c>
      <c r="I65" s="25" t="s">
        <v>53</v>
      </c>
      <c r="J65" s="27">
        <v>87</v>
      </c>
      <c r="K65" s="27">
        <v>80.989999999999995</v>
      </c>
      <c r="L65" s="27">
        <v>6.01</v>
      </c>
      <c r="M65" s="2" t="s">
        <v>309</v>
      </c>
    </row>
    <row r="66" spans="1:13" ht="22.5" x14ac:dyDescent="0.2">
      <c r="A66" s="21">
        <v>42</v>
      </c>
      <c r="B66" s="22">
        <v>483</v>
      </c>
      <c r="C66" s="23" t="s">
        <v>40</v>
      </c>
      <c r="D66" s="24">
        <v>67808295</v>
      </c>
      <c r="E66" s="25" t="s">
        <v>41</v>
      </c>
      <c r="F66" s="26">
        <v>45820</v>
      </c>
      <c r="G66" s="25">
        <v>3086303</v>
      </c>
      <c r="H66" s="23" t="s">
        <v>52</v>
      </c>
      <c r="I66" s="25" t="s">
        <v>53</v>
      </c>
      <c r="J66" s="27">
        <v>87</v>
      </c>
      <c r="K66" s="27">
        <v>80.989999999999995</v>
      </c>
      <c r="L66" s="27">
        <v>6.01</v>
      </c>
      <c r="M66" s="2" t="s">
        <v>309</v>
      </c>
    </row>
    <row r="67" spans="1:13" ht="22.5" x14ac:dyDescent="0.2">
      <c r="A67" s="21">
        <v>43</v>
      </c>
      <c r="B67" s="22">
        <v>483</v>
      </c>
      <c r="C67" s="23" t="s">
        <v>40</v>
      </c>
      <c r="D67" s="24">
        <v>67808295</v>
      </c>
      <c r="E67" s="25" t="s">
        <v>41</v>
      </c>
      <c r="F67" s="26">
        <v>45825</v>
      </c>
      <c r="G67" s="25">
        <v>3086303</v>
      </c>
      <c r="H67" s="23" t="s">
        <v>52</v>
      </c>
      <c r="I67" s="25" t="s">
        <v>53</v>
      </c>
      <c r="J67" s="27">
        <v>87</v>
      </c>
      <c r="K67" s="27">
        <v>80.989999999999995</v>
      </c>
      <c r="L67" s="27">
        <v>6.01</v>
      </c>
      <c r="M67" s="2" t="s">
        <v>309</v>
      </c>
    </row>
    <row r="68" spans="1:13" ht="22.5" x14ac:dyDescent="0.2">
      <c r="A68" s="21">
        <v>44</v>
      </c>
      <c r="B68" s="22">
        <v>483</v>
      </c>
      <c r="C68" s="23" t="s">
        <v>40</v>
      </c>
      <c r="D68" s="24">
        <v>67808295</v>
      </c>
      <c r="E68" s="25" t="s">
        <v>41</v>
      </c>
      <c r="F68" s="26">
        <v>45832</v>
      </c>
      <c r="G68" s="25">
        <v>3086303</v>
      </c>
      <c r="H68" s="23" t="s">
        <v>52</v>
      </c>
      <c r="I68" s="25" t="s">
        <v>53</v>
      </c>
      <c r="J68" s="27">
        <v>87</v>
      </c>
      <c r="K68" s="27">
        <v>80.989999999999995</v>
      </c>
      <c r="L68" s="27">
        <v>6.01</v>
      </c>
      <c r="M68" s="2" t="s">
        <v>309</v>
      </c>
    </row>
    <row r="69" spans="1:13" ht="22.5" x14ac:dyDescent="0.2">
      <c r="A69" s="21">
        <v>45</v>
      </c>
      <c r="B69" s="22">
        <v>483</v>
      </c>
      <c r="C69" s="23" t="s">
        <v>40</v>
      </c>
      <c r="D69" s="24">
        <v>67808295</v>
      </c>
      <c r="E69" s="25" t="s">
        <v>41</v>
      </c>
      <c r="F69" s="26">
        <v>45810</v>
      </c>
      <c r="G69" s="25">
        <v>3086428</v>
      </c>
      <c r="H69" s="23" t="s">
        <v>54</v>
      </c>
      <c r="I69" s="25" t="s">
        <v>55</v>
      </c>
      <c r="J69" s="27">
        <v>82</v>
      </c>
      <c r="K69" s="27">
        <v>73.59</v>
      </c>
      <c r="L69" s="27">
        <v>8.41</v>
      </c>
      <c r="M69" s="2" t="s">
        <v>309</v>
      </c>
    </row>
    <row r="70" spans="1:13" ht="22.5" x14ac:dyDescent="0.2">
      <c r="A70" s="21">
        <v>46</v>
      </c>
      <c r="B70" s="22">
        <v>483</v>
      </c>
      <c r="C70" s="23" t="s">
        <v>40</v>
      </c>
      <c r="D70" s="24">
        <v>67808295</v>
      </c>
      <c r="E70" s="25" t="s">
        <v>41</v>
      </c>
      <c r="F70" s="26">
        <v>45817</v>
      </c>
      <c r="G70" s="25">
        <v>3086428</v>
      </c>
      <c r="H70" s="23" t="s">
        <v>54</v>
      </c>
      <c r="I70" s="25" t="s">
        <v>55</v>
      </c>
      <c r="J70" s="27">
        <v>82</v>
      </c>
      <c r="K70" s="27">
        <v>73.59</v>
      </c>
      <c r="L70" s="27">
        <v>8.41</v>
      </c>
      <c r="M70" s="2" t="s">
        <v>309</v>
      </c>
    </row>
    <row r="71" spans="1:13" ht="22.5" x14ac:dyDescent="0.2">
      <c r="A71" s="21">
        <v>47</v>
      </c>
      <c r="B71" s="22">
        <v>483</v>
      </c>
      <c r="C71" s="23" t="s">
        <v>40</v>
      </c>
      <c r="D71" s="24">
        <v>67808295</v>
      </c>
      <c r="E71" s="25" t="s">
        <v>41</v>
      </c>
      <c r="F71" s="26">
        <v>45820</v>
      </c>
      <c r="G71" s="25">
        <v>3086428</v>
      </c>
      <c r="H71" s="23" t="s">
        <v>54</v>
      </c>
      <c r="I71" s="25" t="s">
        <v>55</v>
      </c>
      <c r="J71" s="27">
        <v>82</v>
      </c>
      <c r="K71" s="27">
        <v>73.59</v>
      </c>
      <c r="L71" s="27">
        <v>8.41</v>
      </c>
      <c r="M71" s="2" t="s">
        <v>309</v>
      </c>
    </row>
    <row r="72" spans="1:13" ht="22.5" x14ac:dyDescent="0.2">
      <c r="A72" s="21">
        <v>48</v>
      </c>
      <c r="B72" s="22">
        <v>483</v>
      </c>
      <c r="C72" s="23" t="s">
        <v>40</v>
      </c>
      <c r="D72" s="24">
        <v>67808295</v>
      </c>
      <c r="E72" s="25" t="s">
        <v>41</v>
      </c>
      <c r="F72" s="26">
        <v>45825</v>
      </c>
      <c r="G72" s="25">
        <v>3086428</v>
      </c>
      <c r="H72" s="23" t="s">
        <v>54</v>
      </c>
      <c r="I72" s="25" t="s">
        <v>55</v>
      </c>
      <c r="J72" s="27">
        <v>82</v>
      </c>
      <c r="K72" s="27">
        <v>73.59</v>
      </c>
      <c r="L72" s="27">
        <v>8.41</v>
      </c>
      <c r="M72" s="2" t="s">
        <v>309</v>
      </c>
    </row>
    <row r="73" spans="1:13" ht="22.5" x14ac:dyDescent="0.2">
      <c r="A73" s="21">
        <v>49</v>
      </c>
      <c r="B73" s="22">
        <v>483</v>
      </c>
      <c r="C73" s="23" t="s">
        <v>40</v>
      </c>
      <c r="D73" s="24">
        <v>67808295</v>
      </c>
      <c r="E73" s="25" t="s">
        <v>41</v>
      </c>
      <c r="F73" s="26">
        <v>45832</v>
      </c>
      <c r="G73" s="25">
        <v>3086428</v>
      </c>
      <c r="H73" s="23" t="s">
        <v>54</v>
      </c>
      <c r="I73" s="25" t="s">
        <v>55</v>
      </c>
      <c r="J73" s="27">
        <v>82</v>
      </c>
      <c r="K73" s="27">
        <v>73.59</v>
      </c>
      <c r="L73" s="27">
        <v>8.41</v>
      </c>
      <c r="M73" s="2" t="s">
        <v>309</v>
      </c>
    </row>
    <row r="74" spans="1:13" ht="22.5" x14ac:dyDescent="0.2">
      <c r="A74" s="21">
        <v>50</v>
      </c>
      <c r="B74" s="22">
        <v>483</v>
      </c>
      <c r="C74" s="23" t="s">
        <v>40</v>
      </c>
      <c r="D74" s="24">
        <v>67808295</v>
      </c>
      <c r="E74" s="25" t="s">
        <v>41</v>
      </c>
      <c r="F74" s="26">
        <v>45810</v>
      </c>
      <c r="G74" s="25">
        <v>3088127</v>
      </c>
      <c r="H74" s="23" t="s">
        <v>60</v>
      </c>
      <c r="I74" s="25" t="s">
        <v>61</v>
      </c>
      <c r="J74" s="27">
        <v>30</v>
      </c>
      <c r="K74" s="27">
        <v>26.85</v>
      </c>
      <c r="L74" s="27">
        <v>3.15</v>
      </c>
      <c r="M74" s="2" t="s">
        <v>309</v>
      </c>
    </row>
    <row r="75" spans="1:13" ht="22.5" x14ac:dyDescent="0.2">
      <c r="A75" s="21">
        <v>51</v>
      </c>
      <c r="B75" s="22">
        <v>483</v>
      </c>
      <c r="C75" s="23" t="s">
        <v>40</v>
      </c>
      <c r="D75" s="24">
        <v>67808295</v>
      </c>
      <c r="E75" s="25" t="s">
        <v>41</v>
      </c>
      <c r="F75" s="26">
        <v>45817</v>
      </c>
      <c r="G75" s="25">
        <v>3088127</v>
      </c>
      <c r="H75" s="23" t="s">
        <v>60</v>
      </c>
      <c r="I75" s="25" t="s">
        <v>61</v>
      </c>
      <c r="J75" s="27">
        <v>30</v>
      </c>
      <c r="K75" s="27">
        <v>26.85</v>
      </c>
      <c r="L75" s="27">
        <v>3.15</v>
      </c>
      <c r="M75" s="2" t="s">
        <v>309</v>
      </c>
    </row>
    <row r="76" spans="1:13" ht="22.5" x14ac:dyDescent="0.2">
      <c r="A76" s="21">
        <v>52</v>
      </c>
      <c r="B76" s="22">
        <v>483</v>
      </c>
      <c r="C76" s="23" t="s">
        <v>40</v>
      </c>
      <c r="D76" s="24">
        <v>67808295</v>
      </c>
      <c r="E76" s="25" t="s">
        <v>41</v>
      </c>
      <c r="F76" s="26">
        <v>45810</v>
      </c>
      <c r="G76" s="25">
        <v>7301021</v>
      </c>
      <c r="H76" s="23" t="s">
        <v>56</v>
      </c>
      <c r="I76" s="25" t="s">
        <v>57</v>
      </c>
      <c r="J76" s="27">
        <v>189</v>
      </c>
      <c r="K76" s="27">
        <v>124.97</v>
      </c>
      <c r="L76" s="27">
        <v>64.03</v>
      </c>
      <c r="M76" s="2" t="s">
        <v>309</v>
      </c>
    </row>
    <row r="77" spans="1:13" ht="22.5" x14ac:dyDescent="0.2">
      <c r="A77" s="21">
        <v>53</v>
      </c>
      <c r="B77" s="22">
        <v>483</v>
      </c>
      <c r="C77" s="23" t="s">
        <v>40</v>
      </c>
      <c r="D77" s="24">
        <v>67808295</v>
      </c>
      <c r="E77" s="25" t="s">
        <v>41</v>
      </c>
      <c r="F77" s="26">
        <v>45817</v>
      </c>
      <c r="G77" s="25">
        <v>7301021</v>
      </c>
      <c r="H77" s="23" t="s">
        <v>56</v>
      </c>
      <c r="I77" s="25" t="s">
        <v>57</v>
      </c>
      <c r="J77" s="27">
        <v>189</v>
      </c>
      <c r="K77" s="27">
        <v>124.97</v>
      </c>
      <c r="L77" s="27">
        <v>64.03</v>
      </c>
      <c r="M77" s="2" t="s">
        <v>309</v>
      </c>
    </row>
    <row r="78" spans="1:13" x14ac:dyDescent="0.2">
      <c r="B78" s="12"/>
      <c r="C78" s="28"/>
      <c r="D78" s="29"/>
      <c r="E78" s="12"/>
      <c r="F78" s="12"/>
      <c r="G78" s="12"/>
      <c r="H78" s="30"/>
      <c r="I78" s="30"/>
      <c r="J78" s="30"/>
      <c r="K78" s="11"/>
      <c r="L78" s="11"/>
    </row>
    <row r="79" spans="1:13" x14ac:dyDescent="0.2">
      <c r="B79" s="12"/>
      <c r="C79" s="28"/>
      <c r="D79" s="29"/>
      <c r="E79" s="15"/>
      <c r="F79" s="15"/>
      <c r="G79" s="15"/>
      <c r="H79" s="15"/>
      <c r="I79" s="30"/>
      <c r="J79" s="30"/>
      <c r="K79" s="11"/>
      <c r="L79" s="11"/>
    </row>
    <row r="80" spans="1:13" x14ac:dyDescent="0.2">
      <c r="B80" s="12"/>
      <c r="C80" s="28"/>
      <c r="D80" s="29"/>
      <c r="E80" s="12"/>
      <c r="F80" s="11"/>
      <c r="G80" s="11"/>
      <c r="H80" s="11"/>
      <c r="I80" s="30"/>
      <c r="J80" s="30"/>
      <c r="K80" s="11"/>
      <c r="L80" s="11"/>
    </row>
    <row r="81" spans="2:14" ht="13.5" thickBot="1" x14ac:dyDescent="0.25">
      <c r="B81" s="12"/>
      <c r="C81" s="28"/>
      <c r="D81" s="11" t="s">
        <v>62</v>
      </c>
      <c r="E81" s="31"/>
      <c r="F81" s="31"/>
      <c r="G81" s="31"/>
      <c r="H81" s="32"/>
      <c r="I81" s="11"/>
      <c r="J81" s="30"/>
      <c r="K81" s="11"/>
      <c r="L81" s="33">
        <f>SUM(L25:L77)</f>
        <v>741.8099999999996</v>
      </c>
      <c r="M81" s="34"/>
      <c r="N81" s="34"/>
    </row>
    <row r="82" spans="2:14" ht="13.5" thickTop="1" x14ac:dyDescent="0.2">
      <c r="B82" s="12"/>
      <c r="C82" s="28"/>
      <c r="D82" s="35"/>
      <c r="E82" s="31"/>
      <c r="F82" s="31"/>
      <c r="G82" s="31"/>
      <c r="H82" s="32"/>
      <c r="I82" s="11"/>
      <c r="J82" s="30"/>
      <c r="K82" s="11"/>
      <c r="L82" s="36"/>
    </row>
    <row r="86" spans="2:14" ht="59.65" customHeight="1" x14ac:dyDescent="0.2">
      <c r="C86" s="50"/>
      <c r="D86" s="50"/>
      <c r="E86" s="50"/>
      <c r="F86" s="50"/>
      <c r="G86" s="50"/>
      <c r="H86" s="50"/>
      <c r="I86" s="50"/>
      <c r="J86" s="50"/>
      <c r="K86" s="50"/>
    </row>
  </sheetData>
  <autoFilter ref="A24:L77" xr:uid="{CA4BB5EC-B323-4C1D-93CF-6A1D20F499F5}"/>
  <mergeCells count="5">
    <mergeCell ref="I14:J14"/>
    <mergeCell ref="B16:L16"/>
    <mergeCell ref="B17:L17"/>
    <mergeCell ref="J21:K21"/>
    <mergeCell ref="C86:K86"/>
  </mergeCells>
  <dataValidations count="1">
    <dataValidation type="list" allowBlank="1" showInputMessage="1" showErrorMessage="1" sqref="C19:D19 F19" xr:uid="{E41DF682-02DB-481E-9706-D5BF0BEE9335}">
      <formula1>#REF!</formula1>
    </dataValidation>
  </dataValidations>
  <pageMargins left="0.25" right="0.25" top="0.5" bottom="0.5" header="0.3" footer="0.3"/>
  <pageSetup scale="89" fitToHeight="0" orientation="landscape" r:id="rId1"/>
  <headerFooter differentFirst="1">
    <oddFooter>&amp;L&amp;P</oddFooter>
    <firstFooter>&amp;L&amp;P&amp;C&amp;"Calibri,Bold"YOUR PROMPT PAYMENT WILL BE GREATLY APPRECIATED.
IF ANY OF THESE CLAIMS WERE BILLED IN ERROR, PLEASE EMAIL YVONNE AGUILAR  AT YVONNE.AGUILAR@BANNERHEALTH.COM, SO WE CAN BILL THE PATIENT IN A TIMELY MANNER.  THANK YOU.</first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BF5C4-E4A6-4800-B033-DFD76A7E8ACA}">
  <sheetPr>
    <tabColor theme="0"/>
    <pageSetUpPr fitToPage="1"/>
  </sheetPr>
  <dimension ref="A1:M35"/>
  <sheetViews>
    <sheetView topLeftCell="B1" zoomScaleNormal="100" workbookViewId="0">
      <selection activeCell="J20" sqref="J20"/>
    </sheetView>
  </sheetViews>
  <sheetFormatPr defaultColWidth="8.85546875" defaultRowHeight="12.75" x14ac:dyDescent="0.2"/>
  <cols>
    <col min="1" max="1" width="14.42578125" style="2" hidden="1" customWidth="1"/>
    <col min="2" max="2" width="13" style="2" customWidth="1"/>
    <col min="3" max="3" width="15.140625" style="2" customWidth="1"/>
    <col min="4" max="4" width="11.140625" style="2" customWidth="1"/>
    <col min="5" max="5" width="16.5703125" style="2" customWidth="1"/>
    <col min="6" max="7" width="11.42578125" style="2" customWidth="1"/>
    <col min="8" max="8" width="8.85546875" style="2"/>
    <col min="9" max="9" width="19.7109375" style="2" customWidth="1"/>
    <col min="10" max="10" width="10.42578125" style="2" customWidth="1"/>
    <col min="11" max="11" width="11.7109375" style="2" customWidth="1"/>
    <col min="12" max="12" width="9.7109375" style="2" customWidth="1"/>
    <col min="13" max="13" width="12.5703125" style="2" customWidth="1"/>
    <col min="14" max="16384" width="8.85546875" style="2"/>
  </cols>
  <sheetData>
    <row r="1" spans="2:12" x14ac:dyDescent="0.2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x14ac:dyDescent="0.2">
      <c r="B2" s="1"/>
      <c r="C2" s="1"/>
      <c r="D2" s="1"/>
      <c r="E2" s="1"/>
      <c r="F2" s="1"/>
      <c r="G2" s="37" t="s">
        <v>311</v>
      </c>
      <c r="H2" s="1"/>
      <c r="I2" s="3" t="s">
        <v>0</v>
      </c>
      <c r="J2" s="4" t="s">
        <v>63</v>
      </c>
      <c r="K2" s="1"/>
      <c r="L2" s="1"/>
    </row>
    <row r="3" spans="2:12" x14ac:dyDescent="0.2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2:12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2:12" x14ac:dyDescent="0.2"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2:12" ht="4.9000000000000004" customHeight="1" x14ac:dyDescent="0.2"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2:12" x14ac:dyDescent="0.2">
      <c r="B7" s="3" t="s">
        <v>2</v>
      </c>
      <c r="C7" s="1"/>
      <c r="D7" s="1"/>
      <c r="E7" s="1"/>
      <c r="F7" s="1"/>
      <c r="G7" s="1"/>
      <c r="H7" s="1"/>
      <c r="I7" s="5" t="s">
        <v>3</v>
      </c>
      <c r="J7" s="1"/>
      <c r="K7" s="1"/>
      <c r="L7" s="1"/>
    </row>
    <row r="8" spans="2:12" x14ac:dyDescent="0.2">
      <c r="B8" s="3" t="s">
        <v>4</v>
      </c>
      <c r="C8" s="1"/>
      <c r="D8" s="1"/>
      <c r="E8" s="1"/>
      <c r="F8" s="1"/>
      <c r="G8" s="1"/>
      <c r="H8" s="1"/>
      <c r="I8" s="3" t="s">
        <v>5</v>
      </c>
      <c r="J8" s="1"/>
      <c r="K8" s="1"/>
      <c r="L8" s="1"/>
    </row>
    <row r="9" spans="2:12" x14ac:dyDescent="0.2">
      <c r="B9" s="3" t="s">
        <v>6</v>
      </c>
      <c r="C9" s="1"/>
      <c r="D9" s="1"/>
      <c r="E9" s="1"/>
      <c r="F9" s="1"/>
      <c r="G9" s="1"/>
      <c r="H9" s="1"/>
      <c r="I9" s="3" t="s">
        <v>7</v>
      </c>
      <c r="J9" s="1"/>
      <c r="K9" s="1"/>
      <c r="L9" s="1"/>
    </row>
    <row r="10" spans="2:12" x14ac:dyDescent="0.2">
      <c r="B10" s="3" t="s">
        <v>8</v>
      </c>
      <c r="C10" s="1"/>
      <c r="D10" s="1"/>
      <c r="E10" s="1"/>
      <c r="F10" s="1"/>
      <c r="G10" s="1"/>
      <c r="H10" s="1"/>
      <c r="I10" s="6" t="s">
        <v>9</v>
      </c>
      <c r="J10" s="1"/>
      <c r="K10" s="1"/>
      <c r="L10" s="1"/>
    </row>
    <row r="11" spans="2:12" x14ac:dyDescent="0.2">
      <c r="B11" s="3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2:12" x14ac:dyDescent="0.2">
      <c r="B12" s="3" t="s">
        <v>11</v>
      </c>
      <c r="C12" s="1"/>
      <c r="D12" s="1"/>
      <c r="E12" s="1"/>
      <c r="F12" s="1"/>
      <c r="G12" s="1"/>
      <c r="H12" s="1"/>
      <c r="I12" s="6" t="s">
        <v>12</v>
      </c>
      <c r="J12" s="6" t="s">
        <v>13</v>
      </c>
      <c r="K12" s="6"/>
      <c r="L12" s="1"/>
    </row>
    <row r="13" spans="2:12" ht="4.1500000000000004" customHeight="1" thickBot="1" x14ac:dyDescent="0.25">
      <c r="B13" s="3"/>
      <c r="C13" s="1"/>
      <c r="D13" s="1"/>
      <c r="E13" s="1"/>
      <c r="F13" s="6"/>
      <c r="G13" s="6"/>
      <c r="H13" s="6"/>
      <c r="I13" s="1"/>
      <c r="J13" s="1"/>
      <c r="K13" s="1"/>
      <c r="L13" s="1"/>
    </row>
    <row r="14" spans="2:12" ht="13.5" thickBot="1" x14ac:dyDescent="0.25">
      <c r="B14" s="7"/>
      <c r="C14" s="1"/>
      <c r="D14" s="1"/>
      <c r="E14" s="1"/>
      <c r="F14" s="1"/>
      <c r="G14" s="1"/>
      <c r="H14" s="1"/>
      <c r="I14" s="44" t="s">
        <v>14</v>
      </c>
      <c r="J14" s="45"/>
      <c r="K14" s="8" t="s">
        <v>15</v>
      </c>
      <c r="L14" s="9"/>
    </row>
    <row r="15" spans="2:12" ht="6" customHeight="1" thickBot="1" x14ac:dyDescent="0.25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2:12" ht="19.7" customHeight="1" thickTop="1" x14ac:dyDescent="0.2">
      <c r="B16" s="46" t="s">
        <v>16</v>
      </c>
      <c r="C16" s="46"/>
      <c r="D16" s="46"/>
      <c r="E16" s="46"/>
      <c r="F16" s="46"/>
      <c r="G16" s="46"/>
      <c r="H16" s="46"/>
      <c r="I16" s="46"/>
      <c r="J16" s="46"/>
      <c r="K16" s="46"/>
      <c r="L16" s="46"/>
    </row>
    <row r="17" spans="1:13" ht="15.6" customHeight="1" x14ac:dyDescent="0.2">
      <c r="B17" s="47">
        <v>45838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</row>
    <row r="18" spans="1:13" x14ac:dyDescent="0.2">
      <c r="B18" s="11" t="s">
        <v>307</v>
      </c>
      <c r="C18" s="11" t="s">
        <v>312</v>
      </c>
      <c r="D18" s="11"/>
      <c r="E18" s="12"/>
      <c r="F18" s="11" t="s">
        <v>312</v>
      </c>
      <c r="G18" s="11"/>
      <c r="H18" s="11"/>
      <c r="I18" s="1"/>
      <c r="J18" s="11"/>
      <c r="K18" s="11"/>
      <c r="L18" s="11"/>
    </row>
    <row r="19" spans="1:13" x14ac:dyDescent="0.2">
      <c r="A19" s="2" t="s">
        <v>18</v>
      </c>
      <c r="B19" s="11" t="s">
        <v>19</v>
      </c>
      <c r="C19" s="14" t="s">
        <v>64</v>
      </c>
      <c r="D19" s="11"/>
      <c r="E19" s="12"/>
      <c r="F19" s="14" t="s">
        <v>64</v>
      </c>
      <c r="G19" s="1"/>
      <c r="H19" s="1"/>
      <c r="I19" s="1"/>
      <c r="J19" s="1"/>
      <c r="K19" s="1"/>
      <c r="L19" s="11"/>
    </row>
    <row r="20" spans="1:13" ht="13.5" thickBot="1" x14ac:dyDescent="0.25">
      <c r="A20" s="2">
        <v>2</v>
      </c>
      <c r="B20" s="11" t="s">
        <v>21</v>
      </c>
      <c r="C20" s="14">
        <v>1854</v>
      </c>
      <c r="D20" s="11"/>
      <c r="E20" s="12"/>
      <c r="F20" s="14">
        <v>1854</v>
      </c>
      <c r="G20" s="15"/>
      <c r="H20" s="16"/>
      <c r="I20" s="16"/>
      <c r="J20" s="40" t="s">
        <v>323</v>
      </c>
      <c r="K20" s="11"/>
      <c r="L20" s="11"/>
    </row>
    <row r="21" spans="1:13" ht="13.9" customHeight="1" thickBot="1" x14ac:dyDescent="0.25">
      <c r="A21" s="2" t="s">
        <v>22</v>
      </c>
      <c r="B21" s="11" t="s">
        <v>23</v>
      </c>
      <c r="C21" s="14">
        <v>4266520</v>
      </c>
      <c r="E21" s="12"/>
      <c r="F21" s="14">
        <v>4266520</v>
      </c>
      <c r="G21" s="15"/>
      <c r="H21" s="16"/>
      <c r="I21" s="17" t="s">
        <v>24</v>
      </c>
      <c r="J21" s="51">
        <v>19.73</v>
      </c>
      <c r="K21" s="49"/>
      <c r="L21" s="11"/>
    </row>
    <row r="22" spans="1:13" x14ac:dyDescent="0.2">
      <c r="A22" s="2">
        <v>0</v>
      </c>
      <c r="B22" s="11" t="s">
        <v>26</v>
      </c>
      <c r="C22" s="14" t="s">
        <v>27</v>
      </c>
      <c r="D22" s="11"/>
      <c r="E22" s="12"/>
      <c r="F22" s="14" t="s">
        <v>27</v>
      </c>
      <c r="G22" s="12"/>
      <c r="H22" s="11"/>
      <c r="I22" s="11"/>
      <c r="J22" s="11"/>
      <c r="K22" s="11"/>
      <c r="L22" s="11"/>
    </row>
    <row r="23" spans="1:13" ht="4.1500000000000004" customHeight="1" x14ac:dyDescent="0.2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</row>
    <row r="24" spans="1:13" s="20" customFormat="1" ht="22.5" x14ac:dyDescent="0.2">
      <c r="A24" s="18" t="s">
        <v>28</v>
      </c>
      <c r="B24" s="19" t="s">
        <v>29</v>
      </c>
      <c r="C24" s="19" t="s">
        <v>30</v>
      </c>
      <c r="D24" s="19" t="s">
        <v>31</v>
      </c>
      <c r="E24" s="19" t="s">
        <v>32</v>
      </c>
      <c r="F24" s="19" t="s">
        <v>33</v>
      </c>
      <c r="G24" s="19" t="s">
        <v>34</v>
      </c>
      <c r="H24" s="19" t="s">
        <v>35</v>
      </c>
      <c r="I24" s="19" t="s">
        <v>36</v>
      </c>
      <c r="J24" s="19" t="s">
        <v>37</v>
      </c>
      <c r="K24" s="19" t="s">
        <v>38</v>
      </c>
      <c r="L24" s="19" t="s">
        <v>39</v>
      </c>
      <c r="M24" s="20" t="s">
        <v>310</v>
      </c>
    </row>
    <row r="25" spans="1:13" ht="22.5" x14ac:dyDescent="0.2">
      <c r="A25" s="21">
        <v>160</v>
      </c>
      <c r="B25" s="22">
        <v>483</v>
      </c>
      <c r="C25" s="23" t="s">
        <v>65</v>
      </c>
      <c r="D25" s="24">
        <v>67944587</v>
      </c>
      <c r="E25" s="25" t="s">
        <v>66</v>
      </c>
      <c r="F25" s="26">
        <v>45826</v>
      </c>
      <c r="G25" s="25">
        <v>3073061</v>
      </c>
      <c r="H25" s="23" t="s">
        <v>42</v>
      </c>
      <c r="I25" s="25" t="s">
        <v>43</v>
      </c>
      <c r="J25" s="27">
        <v>66</v>
      </c>
      <c r="K25" s="27">
        <v>55.92</v>
      </c>
      <c r="L25" s="27">
        <v>10.08</v>
      </c>
      <c r="M25" s="2" t="s">
        <v>309</v>
      </c>
    </row>
    <row r="26" spans="1:13" x14ac:dyDescent="0.2">
      <c r="A26" s="21">
        <v>161</v>
      </c>
      <c r="B26" s="22">
        <v>483</v>
      </c>
      <c r="C26" s="23" t="s">
        <v>65</v>
      </c>
      <c r="D26" s="24">
        <v>67944587</v>
      </c>
      <c r="E26" s="25" t="s">
        <v>66</v>
      </c>
      <c r="F26" s="26">
        <v>45826</v>
      </c>
      <c r="G26" s="25">
        <v>3074176</v>
      </c>
      <c r="H26" s="23" t="s">
        <v>44</v>
      </c>
      <c r="I26" s="25" t="s">
        <v>45</v>
      </c>
      <c r="J26" s="27">
        <v>93</v>
      </c>
      <c r="K26" s="27">
        <v>83.35</v>
      </c>
      <c r="L26" s="27">
        <v>9.65</v>
      </c>
      <c r="M26" s="2" t="s">
        <v>309</v>
      </c>
    </row>
    <row r="27" spans="1:13" x14ac:dyDescent="0.2">
      <c r="B27" s="12"/>
      <c r="C27" s="28"/>
      <c r="D27" s="29"/>
      <c r="E27" s="12"/>
      <c r="F27" s="12"/>
      <c r="G27" s="12"/>
      <c r="H27" s="30"/>
      <c r="I27" s="30"/>
      <c r="J27" s="30"/>
      <c r="K27" s="11"/>
      <c r="L27" s="11"/>
    </row>
    <row r="28" spans="1:13" x14ac:dyDescent="0.2">
      <c r="B28" s="12"/>
      <c r="C28" s="28"/>
      <c r="D28" s="29"/>
      <c r="E28" s="15"/>
      <c r="F28" s="15"/>
      <c r="G28" s="15"/>
      <c r="H28" s="15"/>
      <c r="I28" s="30"/>
      <c r="J28" s="30"/>
      <c r="K28" s="11"/>
      <c r="L28" s="11"/>
    </row>
    <row r="29" spans="1:13" x14ac:dyDescent="0.2">
      <c r="B29" s="12"/>
      <c r="C29" s="28"/>
      <c r="D29" s="29"/>
      <c r="E29" s="12"/>
      <c r="F29" s="11"/>
      <c r="G29" s="11"/>
      <c r="H29" s="11"/>
      <c r="I29" s="30"/>
      <c r="J29" s="30"/>
      <c r="K29" s="11"/>
      <c r="L29" s="11"/>
    </row>
    <row r="30" spans="1:13" ht="13.5" thickBot="1" x14ac:dyDescent="0.25">
      <c r="B30" s="12"/>
      <c r="C30" s="28"/>
      <c r="D30" s="11" t="s">
        <v>62</v>
      </c>
      <c r="E30" s="31"/>
      <c r="F30" s="31"/>
      <c r="G30" s="31"/>
      <c r="H30" s="32"/>
      <c r="I30" s="11"/>
      <c r="J30" s="30"/>
      <c r="K30" s="11"/>
      <c r="L30" s="33">
        <v>19.73</v>
      </c>
    </row>
    <row r="31" spans="1:13" ht="13.5" thickTop="1" x14ac:dyDescent="0.2">
      <c r="B31" s="12"/>
      <c r="C31" s="28"/>
      <c r="D31" s="35"/>
      <c r="E31" s="31"/>
      <c r="F31" s="31"/>
      <c r="G31" s="31"/>
      <c r="H31" s="32"/>
      <c r="I31" s="11"/>
      <c r="J31" s="30"/>
      <c r="K31" s="11"/>
      <c r="L31" s="36"/>
    </row>
    <row r="35" spans="3:11" ht="59.65" customHeight="1" x14ac:dyDescent="0.25">
      <c r="C35"/>
      <c r="D35"/>
      <c r="E35"/>
      <c r="F35"/>
      <c r="G35"/>
      <c r="H35"/>
      <c r="I35"/>
      <c r="J35"/>
      <c r="K35"/>
    </row>
  </sheetData>
  <mergeCells count="4">
    <mergeCell ref="I14:J14"/>
    <mergeCell ref="B16:L16"/>
    <mergeCell ref="B17:L17"/>
    <mergeCell ref="J21:K21"/>
  </mergeCells>
  <dataValidations count="1">
    <dataValidation type="list" allowBlank="1" showInputMessage="1" showErrorMessage="1" sqref="C19:D19 F19" xr:uid="{21038650-8B2F-4B5C-B563-972F595E8E18}">
      <formula1>#REF!</formula1>
    </dataValidation>
  </dataValidations>
  <pageMargins left="0.25" right="0.25" top="0.5" bottom="0.5" header="0.3" footer="0.3"/>
  <pageSetup fitToHeight="0" orientation="landscape" r:id="rId1"/>
  <headerFooter differentFirst="1">
    <oddFooter>&amp;L&amp;P</oddFooter>
    <firstFooter>&amp;L&amp;P&amp;C&amp;"Calibri,Bold"YOUR PROMPT PAYMENT WILL BE GREATLY APPRECIATED.
IF ANY OF THESE CLAIMS WERE BILLED IN ERROR, PLEASE EMAIL YVONNE AGUILAR  AT YVONNE.AGUILAR@BANNERHEALTH.COM, SO WE CAN BILL THE PATIENT IN A TIMELY MANNER.  THANK YOU.</first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E1FB3-BA7C-4717-BCDC-82FF01BF9A48}">
  <sheetPr>
    <tabColor theme="0"/>
    <pageSetUpPr fitToPage="1"/>
  </sheetPr>
  <dimension ref="A1:M36"/>
  <sheetViews>
    <sheetView topLeftCell="B1" zoomScaleNormal="100" workbookViewId="0">
      <selection activeCell="L20" sqref="L20"/>
    </sheetView>
  </sheetViews>
  <sheetFormatPr defaultColWidth="8.85546875" defaultRowHeight="12.75" x14ac:dyDescent="0.2"/>
  <cols>
    <col min="1" max="1" width="14.42578125" style="2" hidden="1" customWidth="1"/>
    <col min="2" max="2" width="13.42578125" style="2" customWidth="1"/>
    <col min="3" max="3" width="15.140625" style="2" hidden="1" customWidth="1"/>
    <col min="4" max="4" width="11.42578125" style="2" hidden="1" customWidth="1"/>
    <col min="5" max="5" width="18.42578125" style="2" hidden="1" customWidth="1"/>
    <col min="6" max="6" width="17.5703125" style="2" customWidth="1"/>
    <col min="7" max="7" width="11.42578125" style="2" customWidth="1"/>
    <col min="8" max="8" width="8.85546875" style="2"/>
    <col min="9" max="9" width="19.42578125" style="2" customWidth="1"/>
    <col min="10" max="10" width="10.5703125" style="2" customWidth="1"/>
    <col min="11" max="11" width="12" style="2" customWidth="1"/>
    <col min="12" max="12" width="10.5703125" style="2" customWidth="1"/>
    <col min="13" max="13" width="15.7109375" style="2" customWidth="1"/>
    <col min="14" max="16384" width="8.85546875" style="2"/>
  </cols>
  <sheetData>
    <row r="1" spans="2:12" x14ac:dyDescent="0.2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x14ac:dyDescent="0.2">
      <c r="B2" s="1"/>
      <c r="C2" s="1"/>
      <c r="D2" s="1"/>
      <c r="E2" s="1"/>
      <c r="F2" s="1"/>
      <c r="G2" s="37" t="s">
        <v>311</v>
      </c>
      <c r="H2" s="1"/>
      <c r="I2" s="3" t="s">
        <v>0</v>
      </c>
      <c r="J2" s="4" t="s">
        <v>67</v>
      </c>
      <c r="K2" s="1"/>
      <c r="L2" s="1"/>
    </row>
    <row r="3" spans="2:12" x14ac:dyDescent="0.2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2:12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2:12" x14ac:dyDescent="0.2"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2:12" ht="4.9000000000000004" customHeight="1" x14ac:dyDescent="0.2"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2:12" x14ac:dyDescent="0.2">
      <c r="B7" s="3" t="s">
        <v>2</v>
      </c>
      <c r="C7" s="1"/>
      <c r="D7" s="1"/>
      <c r="E7" s="1"/>
      <c r="F7" s="1"/>
      <c r="G7" s="1"/>
      <c r="H7" s="1"/>
      <c r="I7" s="5" t="s">
        <v>3</v>
      </c>
      <c r="J7" s="1"/>
      <c r="K7" s="1"/>
      <c r="L7" s="1"/>
    </row>
    <row r="8" spans="2:12" x14ac:dyDescent="0.2">
      <c r="B8" s="3" t="s">
        <v>4</v>
      </c>
      <c r="C8" s="1"/>
      <c r="D8" s="1"/>
      <c r="E8" s="1"/>
      <c r="F8" s="1"/>
      <c r="G8" s="1"/>
      <c r="H8" s="1"/>
      <c r="I8" s="3" t="s">
        <v>5</v>
      </c>
      <c r="J8" s="1"/>
      <c r="K8" s="1"/>
      <c r="L8" s="1"/>
    </row>
    <row r="9" spans="2:12" x14ac:dyDescent="0.2">
      <c r="B9" s="3" t="s">
        <v>6</v>
      </c>
      <c r="C9" s="1"/>
      <c r="D9" s="1"/>
      <c r="E9" s="1"/>
      <c r="F9" s="1"/>
      <c r="G9" s="1"/>
      <c r="H9" s="1"/>
      <c r="I9" s="3" t="s">
        <v>7</v>
      </c>
      <c r="J9" s="1"/>
      <c r="K9" s="1"/>
      <c r="L9" s="1"/>
    </row>
    <row r="10" spans="2:12" x14ac:dyDescent="0.2">
      <c r="B10" s="3" t="s">
        <v>8</v>
      </c>
      <c r="C10" s="1"/>
      <c r="D10" s="1"/>
      <c r="E10" s="1"/>
      <c r="F10" s="1"/>
      <c r="G10" s="1"/>
      <c r="H10" s="1"/>
      <c r="I10" s="6" t="s">
        <v>9</v>
      </c>
      <c r="J10" s="1"/>
      <c r="K10" s="1"/>
      <c r="L10" s="1"/>
    </row>
    <row r="11" spans="2:12" x14ac:dyDescent="0.2">
      <c r="B11" s="3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2:12" x14ac:dyDescent="0.2">
      <c r="B12" s="3" t="s">
        <v>11</v>
      </c>
      <c r="C12" s="1"/>
      <c r="D12" s="1"/>
      <c r="E12" s="1"/>
      <c r="F12" s="1"/>
      <c r="G12" s="1"/>
      <c r="H12" s="1"/>
      <c r="I12" s="6" t="s">
        <v>12</v>
      </c>
      <c r="J12" s="6" t="s">
        <v>13</v>
      </c>
      <c r="K12" s="6"/>
      <c r="L12" s="1"/>
    </row>
    <row r="13" spans="2:12" ht="4.1500000000000004" customHeight="1" thickBot="1" x14ac:dyDescent="0.25">
      <c r="B13" s="3"/>
      <c r="C13" s="1"/>
      <c r="D13" s="1"/>
      <c r="E13" s="1"/>
      <c r="F13" s="6"/>
      <c r="G13" s="6"/>
      <c r="H13" s="6"/>
      <c r="I13" s="1"/>
      <c r="J13" s="1"/>
      <c r="K13" s="1"/>
      <c r="L13" s="1"/>
    </row>
    <row r="14" spans="2:12" ht="13.5" thickBot="1" x14ac:dyDescent="0.25">
      <c r="B14" s="7"/>
      <c r="C14" s="1"/>
      <c r="D14" s="1"/>
      <c r="E14" s="1"/>
      <c r="F14" s="1"/>
      <c r="G14" s="1"/>
      <c r="H14" s="1"/>
      <c r="I14" s="44" t="s">
        <v>14</v>
      </c>
      <c r="J14" s="45"/>
      <c r="K14" s="8" t="s">
        <v>15</v>
      </c>
      <c r="L14" s="9"/>
    </row>
    <row r="15" spans="2:12" ht="6" customHeight="1" thickBot="1" x14ac:dyDescent="0.25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2:12" ht="19.7" customHeight="1" thickTop="1" x14ac:dyDescent="0.2">
      <c r="B16" s="46" t="s">
        <v>16</v>
      </c>
      <c r="C16" s="46"/>
      <c r="D16" s="46"/>
      <c r="E16" s="46"/>
      <c r="F16" s="46"/>
      <c r="G16" s="46"/>
      <c r="H16" s="46"/>
      <c r="I16" s="46"/>
      <c r="J16" s="46"/>
      <c r="K16" s="46"/>
      <c r="L16" s="46"/>
    </row>
    <row r="17" spans="1:13" ht="15.6" customHeight="1" x14ac:dyDescent="0.2">
      <c r="B17" s="47">
        <v>45838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</row>
    <row r="18" spans="1:13" x14ac:dyDescent="0.2">
      <c r="B18" s="11" t="s">
        <v>307</v>
      </c>
      <c r="C18" s="11" t="s">
        <v>313</v>
      </c>
      <c r="D18" s="11"/>
      <c r="E18" s="12"/>
      <c r="F18" s="11" t="s">
        <v>313</v>
      </c>
      <c r="G18" s="11"/>
      <c r="H18" s="11"/>
      <c r="I18" s="1"/>
      <c r="J18" s="11"/>
      <c r="K18" s="11"/>
      <c r="L18" s="11"/>
    </row>
    <row r="19" spans="1:13" x14ac:dyDescent="0.2">
      <c r="A19" s="2" t="s">
        <v>18</v>
      </c>
      <c r="B19" s="11" t="s">
        <v>19</v>
      </c>
      <c r="C19" s="14" t="s">
        <v>68</v>
      </c>
      <c r="D19" s="11"/>
      <c r="E19" s="12"/>
      <c r="F19" s="14" t="s">
        <v>68</v>
      </c>
      <c r="G19" s="1"/>
      <c r="H19" s="1"/>
      <c r="I19" s="1"/>
      <c r="J19" s="1"/>
      <c r="K19" s="1"/>
      <c r="L19" s="11"/>
    </row>
    <row r="20" spans="1:13" ht="13.5" thickBot="1" x14ac:dyDescent="0.25">
      <c r="A20" s="2">
        <v>3</v>
      </c>
      <c r="B20" s="11" t="s">
        <v>21</v>
      </c>
      <c r="C20" s="14">
        <v>3835</v>
      </c>
      <c r="D20" s="11"/>
      <c r="E20" s="12"/>
      <c r="F20" s="14">
        <v>3835</v>
      </c>
      <c r="G20" s="15"/>
      <c r="H20" s="16"/>
      <c r="I20" s="16"/>
      <c r="J20" s="40" t="s">
        <v>324</v>
      </c>
      <c r="K20" s="11"/>
      <c r="L20" s="11"/>
    </row>
    <row r="21" spans="1:13" ht="13.9" customHeight="1" thickBot="1" x14ac:dyDescent="0.25">
      <c r="A21" s="2" t="s">
        <v>22</v>
      </c>
      <c r="B21" s="11" t="s">
        <v>23</v>
      </c>
      <c r="C21" s="14">
        <v>4271190</v>
      </c>
      <c r="E21" s="12"/>
      <c r="F21" s="14">
        <v>4271190</v>
      </c>
      <c r="G21" s="15"/>
      <c r="H21" s="16"/>
      <c r="I21" s="17" t="s">
        <v>24</v>
      </c>
      <c r="J21" s="48">
        <f>L31</f>
        <v>24.5</v>
      </c>
      <c r="K21" s="49"/>
      <c r="L21" s="11"/>
    </row>
    <row r="22" spans="1:13" x14ac:dyDescent="0.2">
      <c r="A22" s="2">
        <v>0</v>
      </c>
      <c r="B22" s="11" t="s">
        <v>26</v>
      </c>
      <c r="C22" s="14" t="s">
        <v>27</v>
      </c>
      <c r="D22" s="11"/>
      <c r="E22" s="12"/>
      <c r="F22" s="14" t="s">
        <v>27</v>
      </c>
      <c r="G22" s="12"/>
      <c r="H22" s="11"/>
      <c r="I22" s="11"/>
      <c r="J22" s="11"/>
      <c r="K22" s="11"/>
      <c r="L22" s="11"/>
    </row>
    <row r="23" spans="1:13" ht="4.1500000000000004" customHeight="1" x14ac:dyDescent="0.2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</row>
    <row r="24" spans="1:13" s="20" customFormat="1" ht="22.5" x14ac:dyDescent="0.2">
      <c r="A24" s="18" t="s">
        <v>28</v>
      </c>
      <c r="B24" s="19" t="s">
        <v>29</v>
      </c>
      <c r="C24" s="19" t="s">
        <v>30</v>
      </c>
      <c r="D24" s="19" t="s">
        <v>31</v>
      </c>
      <c r="E24" s="19" t="s">
        <v>32</v>
      </c>
      <c r="F24" s="19" t="s">
        <v>33</v>
      </c>
      <c r="G24" s="19" t="s">
        <v>34</v>
      </c>
      <c r="H24" s="19" t="s">
        <v>35</v>
      </c>
      <c r="I24" s="19" t="s">
        <v>36</v>
      </c>
      <c r="J24" s="19" t="s">
        <v>37</v>
      </c>
      <c r="K24" s="19" t="s">
        <v>38</v>
      </c>
      <c r="L24" s="19" t="s">
        <v>39</v>
      </c>
      <c r="M24" s="20" t="s">
        <v>310</v>
      </c>
    </row>
    <row r="25" spans="1:13" ht="22.5" x14ac:dyDescent="0.2">
      <c r="A25" s="21">
        <v>574</v>
      </c>
      <c r="B25" s="22">
        <v>483</v>
      </c>
      <c r="C25" s="23" t="s">
        <v>69</v>
      </c>
      <c r="D25" s="24">
        <v>67868836</v>
      </c>
      <c r="E25" s="25" t="s">
        <v>70</v>
      </c>
      <c r="F25" s="26">
        <v>45827</v>
      </c>
      <c r="G25" s="25">
        <v>3086303</v>
      </c>
      <c r="H25" s="23" t="s">
        <v>52</v>
      </c>
      <c r="I25" s="25" t="s">
        <v>53</v>
      </c>
      <c r="J25" s="27">
        <v>87</v>
      </c>
      <c r="K25" s="27">
        <v>80.989999999999995</v>
      </c>
      <c r="L25" s="27">
        <v>6.01</v>
      </c>
      <c r="M25" s="2" t="s">
        <v>309</v>
      </c>
    </row>
    <row r="26" spans="1:13" ht="22.5" x14ac:dyDescent="0.2">
      <c r="A26" s="21">
        <v>575</v>
      </c>
      <c r="B26" s="22">
        <v>483</v>
      </c>
      <c r="C26" s="23" t="s">
        <v>69</v>
      </c>
      <c r="D26" s="24">
        <v>67868836</v>
      </c>
      <c r="E26" s="25" t="s">
        <v>70</v>
      </c>
      <c r="F26" s="26">
        <v>45827</v>
      </c>
      <c r="G26" s="25">
        <v>3086428</v>
      </c>
      <c r="H26" s="23" t="s">
        <v>54</v>
      </c>
      <c r="I26" s="25" t="s">
        <v>55</v>
      </c>
      <c r="J26" s="27">
        <v>82</v>
      </c>
      <c r="K26" s="27">
        <v>73.59</v>
      </c>
      <c r="L26" s="27">
        <v>8.41</v>
      </c>
      <c r="M26" s="2" t="s">
        <v>309</v>
      </c>
    </row>
    <row r="27" spans="1:13" ht="22.5" x14ac:dyDescent="0.2">
      <c r="A27" s="21">
        <v>576</v>
      </c>
      <c r="B27" s="22">
        <v>483</v>
      </c>
      <c r="C27" s="23" t="s">
        <v>69</v>
      </c>
      <c r="D27" s="24">
        <v>67868836</v>
      </c>
      <c r="E27" s="25" t="s">
        <v>70</v>
      </c>
      <c r="F27" s="26">
        <v>45827</v>
      </c>
      <c r="G27" s="25">
        <v>3073061</v>
      </c>
      <c r="H27" s="23" t="s">
        <v>42</v>
      </c>
      <c r="I27" s="25" t="s">
        <v>43</v>
      </c>
      <c r="J27" s="27">
        <v>66</v>
      </c>
      <c r="K27" s="27">
        <v>55.92</v>
      </c>
      <c r="L27" s="27">
        <v>10.08</v>
      </c>
      <c r="M27" s="2" t="s">
        <v>309</v>
      </c>
    </row>
    <row r="28" spans="1:13" x14ac:dyDescent="0.2">
      <c r="A28" s="21"/>
      <c r="B28" s="12"/>
      <c r="C28" s="28"/>
      <c r="D28" s="29"/>
      <c r="E28" s="12"/>
      <c r="F28" s="12"/>
      <c r="G28" s="12"/>
      <c r="H28" s="30"/>
      <c r="I28" s="30"/>
      <c r="J28" s="30"/>
      <c r="K28" s="11"/>
      <c r="L28" s="11"/>
    </row>
    <row r="29" spans="1:13" x14ac:dyDescent="0.2">
      <c r="B29" s="12"/>
      <c r="C29" s="28"/>
      <c r="D29" s="29"/>
      <c r="E29" s="15"/>
      <c r="F29" s="15"/>
      <c r="G29" s="15"/>
      <c r="H29" s="15"/>
      <c r="I29" s="30"/>
      <c r="J29" s="30"/>
      <c r="K29" s="11"/>
      <c r="L29" s="11"/>
    </row>
    <row r="30" spans="1:13" x14ac:dyDescent="0.2">
      <c r="B30" s="12"/>
      <c r="C30" s="28"/>
      <c r="D30" s="29"/>
      <c r="E30" s="12"/>
      <c r="F30" s="11"/>
      <c r="G30" s="11"/>
      <c r="H30" s="11"/>
      <c r="I30" s="30"/>
      <c r="J30" s="30"/>
      <c r="K30" s="11"/>
      <c r="L30" s="11"/>
    </row>
    <row r="31" spans="1:13" ht="13.5" thickBot="1" x14ac:dyDescent="0.25">
      <c r="B31" s="12"/>
      <c r="C31" s="28"/>
      <c r="D31" s="11" t="s">
        <v>62</v>
      </c>
      <c r="E31" s="31"/>
      <c r="F31" s="31"/>
      <c r="G31" s="31"/>
      <c r="H31" s="32"/>
      <c r="I31" s="11"/>
      <c r="J31" s="30"/>
      <c r="K31" s="11"/>
      <c r="L31" s="33">
        <f>SUM(L25:L27)</f>
        <v>24.5</v>
      </c>
    </row>
    <row r="32" spans="1:13" ht="13.5" thickTop="1" x14ac:dyDescent="0.2">
      <c r="B32" s="12"/>
      <c r="C32" s="28"/>
      <c r="D32" s="35"/>
      <c r="E32" s="31"/>
      <c r="F32" s="31"/>
      <c r="G32" s="31"/>
      <c r="H32" s="32"/>
      <c r="I32" s="11"/>
      <c r="J32" s="30"/>
      <c r="K32" s="11"/>
      <c r="L32" s="36"/>
    </row>
    <row r="36" spans="3:11" ht="59.65" customHeight="1" x14ac:dyDescent="0.25">
      <c r="C36"/>
      <c r="D36"/>
      <c r="E36"/>
      <c r="F36"/>
      <c r="G36"/>
      <c r="H36"/>
      <c r="I36"/>
      <c r="J36"/>
      <c r="K36"/>
    </row>
  </sheetData>
  <mergeCells count="4">
    <mergeCell ref="I14:J14"/>
    <mergeCell ref="B16:L16"/>
    <mergeCell ref="B17:L17"/>
    <mergeCell ref="J21:K21"/>
  </mergeCells>
  <dataValidations count="1">
    <dataValidation type="list" allowBlank="1" showInputMessage="1" showErrorMessage="1" sqref="C19:D19 F19" xr:uid="{1028BC7D-9794-4AE7-A4C8-266105620008}">
      <formula1>#REF!</formula1>
    </dataValidation>
  </dataValidations>
  <pageMargins left="0.25" right="0.25" top="0.5" bottom="0.5" header="0.3" footer="0.3"/>
  <pageSetup fitToHeight="0" orientation="landscape" r:id="rId1"/>
  <headerFooter differentFirst="1">
    <oddFooter>&amp;L&amp;P</oddFooter>
    <firstFooter>&amp;L&amp;P&amp;C&amp;"Calibri,Bold"YOUR PROMPT PAYMENT WILL BE GREATLY APPRECIATED.
IF ANY OF THESE CLAIMS WERE BILLED IN ERROR, PLEASE EMAIL YVONNE AGUILAR  AT YVONNE.AGUILAR@BANNERHEALTH.COM, SO WE CAN BILL THE PATIENT IN A TIMELY MANNER.  THANK YOU.</first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68987-137D-4F2B-A6E0-575230EC8E53}">
  <sheetPr>
    <tabColor rgb="FFFFFF00"/>
    <pageSetUpPr fitToPage="1"/>
  </sheetPr>
  <dimension ref="A1:L35"/>
  <sheetViews>
    <sheetView topLeftCell="B1" zoomScaleNormal="100" workbookViewId="0">
      <selection activeCell="C21" sqref="C21"/>
    </sheetView>
  </sheetViews>
  <sheetFormatPr defaultColWidth="8.85546875" defaultRowHeight="12.75" x14ac:dyDescent="0.2"/>
  <cols>
    <col min="1" max="1" width="14.42578125" style="2" hidden="1" customWidth="1"/>
    <col min="2" max="2" width="14.140625" style="2" customWidth="1"/>
    <col min="3" max="3" width="13.42578125" style="2" customWidth="1"/>
    <col min="4" max="4" width="14" style="2" customWidth="1"/>
    <col min="5" max="5" width="18.42578125" style="2" customWidth="1"/>
    <col min="6" max="7" width="11.42578125" style="2" customWidth="1"/>
    <col min="8" max="8" width="8.85546875" style="2"/>
    <col min="9" max="9" width="19.7109375" style="2" customWidth="1"/>
    <col min="10" max="10" width="10" style="2" customWidth="1"/>
    <col min="11" max="11" width="11.28515625" style="2" customWidth="1"/>
    <col min="12" max="12" width="10.5703125" style="2" customWidth="1"/>
    <col min="13" max="16384" width="8.85546875" style="2"/>
  </cols>
  <sheetData>
    <row r="1" spans="2:12" x14ac:dyDescent="0.2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x14ac:dyDescent="0.2">
      <c r="B2" s="1"/>
      <c r="C2" s="1"/>
      <c r="D2" s="1"/>
      <c r="E2" s="1"/>
      <c r="F2" s="1"/>
      <c r="G2" s="37" t="s">
        <v>311</v>
      </c>
      <c r="H2" s="1"/>
      <c r="I2" s="3" t="s">
        <v>0</v>
      </c>
      <c r="J2" s="4" t="s">
        <v>71</v>
      </c>
      <c r="K2" s="1"/>
      <c r="L2" s="1"/>
    </row>
    <row r="3" spans="2:12" x14ac:dyDescent="0.2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2:12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2:12" x14ac:dyDescent="0.2"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2:12" ht="4.9000000000000004" customHeight="1" x14ac:dyDescent="0.2"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2:12" x14ac:dyDescent="0.2">
      <c r="B7" s="3" t="s">
        <v>2</v>
      </c>
      <c r="C7" s="1"/>
      <c r="D7" s="1"/>
      <c r="E7" s="1"/>
      <c r="F7" s="1"/>
      <c r="G7" s="1"/>
      <c r="H7" s="1"/>
      <c r="I7" s="5" t="s">
        <v>3</v>
      </c>
      <c r="J7" s="1"/>
      <c r="K7" s="1"/>
      <c r="L7" s="1"/>
    </row>
    <row r="8" spans="2:12" x14ac:dyDescent="0.2">
      <c r="B8" s="3" t="s">
        <v>4</v>
      </c>
      <c r="C8" s="1"/>
      <c r="D8" s="1"/>
      <c r="E8" s="1"/>
      <c r="F8" s="1"/>
      <c r="G8" s="1"/>
      <c r="H8" s="1"/>
      <c r="I8" s="3" t="s">
        <v>5</v>
      </c>
      <c r="J8" s="1"/>
      <c r="K8" s="1"/>
      <c r="L8" s="1"/>
    </row>
    <row r="9" spans="2:12" x14ac:dyDescent="0.2">
      <c r="B9" s="3" t="s">
        <v>6</v>
      </c>
      <c r="C9" s="1"/>
      <c r="D9" s="1"/>
      <c r="E9" s="1"/>
      <c r="F9" s="1"/>
      <c r="G9" s="1"/>
      <c r="H9" s="1"/>
      <c r="I9" s="3" t="s">
        <v>7</v>
      </c>
      <c r="J9" s="1"/>
      <c r="K9" s="1"/>
      <c r="L9" s="1"/>
    </row>
    <row r="10" spans="2:12" x14ac:dyDescent="0.2">
      <c r="B10" s="3" t="s">
        <v>8</v>
      </c>
      <c r="C10" s="1"/>
      <c r="D10" s="1"/>
      <c r="E10" s="1"/>
      <c r="F10" s="1"/>
      <c r="G10" s="1"/>
      <c r="H10" s="1"/>
      <c r="I10" s="6" t="s">
        <v>9</v>
      </c>
      <c r="J10" s="1"/>
      <c r="K10" s="1"/>
      <c r="L10" s="1"/>
    </row>
    <row r="11" spans="2:12" x14ac:dyDescent="0.2">
      <c r="B11" s="3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2:12" x14ac:dyDescent="0.2">
      <c r="B12" s="3" t="s">
        <v>11</v>
      </c>
      <c r="C12" s="1"/>
      <c r="D12" s="1"/>
      <c r="E12" s="1"/>
      <c r="F12" s="1"/>
      <c r="G12" s="1"/>
      <c r="H12" s="1"/>
      <c r="I12" s="6" t="s">
        <v>12</v>
      </c>
      <c r="J12" s="6" t="s">
        <v>13</v>
      </c>
      <c r="K12" s="6"/>
      <c r="L12" s="1"/>
    </row>
    <row r="13" spans="2:12" ht="4.1500000000000004" customHeight="1" thickBot="1" x14ac:dyDescent="0.25">
      <c r="B13" s="3"/>
      <c r="C13" s="1"/>
      <c r="D13" s="1"/>
      <c r="E13" s="1"/>
      <c r="F13" s="6"/>
      <c r="G13" s="6"/>
      <c r="H13" s="6"/>
      <c r="I13" s="1"/>
      <c r="J13" s="1"/>
      <c r="K13" s="1"/>
      <c r="L13" s="1"/>
    </row>
    <row r="14" spans="2:12" ht="13.5" thickBot="1" x14ac:dyDescent="0.25">
      <c r="B14" s="7"/>
      <c r="C14" s="1"/>
      <c r="D14" s="1"/>
      <c r="E14" s="1"/>
      <c r="F14" s="1"/>
      <c r="G14" s="1"/>
      <c r="H14" s="1"/>
      <c r="I14" s="44" t="s">
        <v>14</v>
      </c>
      <c r="J14" s="45"/>
      <c r="K14" s="8" t="s">
        <v>15</v>
      </c>
      <c r="L14" s="9"/>
    </row>
    <row r="15" spans="2:12" ht="6" customHeight="1" thickBot="1" x14ac:dyDescent="0.25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2:12" ht="19.7" customHeight="1" thickTop="1" x14ac:dyDescent="0.2">
      <c r="B16" s="46" t="s">
        <v>16</v>
      </c>
      <c r="C16" s="46"/>
      <c r="D16" s="46"/>
      <c r="E16" s="46"/>
      <c r="F16" s="46"/>
      <c r="G16" s="46"/>
      <c r="H16" s="46"/>
      <c r="I16" s="46"/>
      <c r="J16" s="46"/>
      <c r="K16" s="46"/>
      <c r="L16" s="46"/>
    </row>
    <row r="17" spans="1:12" ht="15.6" customHeight="1" x14ac:dyDescent="0.2">
      <c r="B17" s="47">
        <v>45838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</row>
    <row r="18" spans="1:12" x14ac:dyDescent="0.2">
      <c r="B18" s="11" t="s">
        <v>17</v>
      </c>
      <c r="C18" s="11"/>
      <c r="D18" s="11"/>
      <c r="E18" s="12"/>
      <c r="F18" s="11"/>
      <c r="G18" s="11"/>
      <c r="H18" s="11"/>
      <c r="I18" s="1"/>
      <c r="J18" s="11"/>
      <c r="K18" s="11"/>
      <c r="L18" s="11"/>
    </row>
    <row r="19" spans="1:12" x14ac:dyDescent="0.2">
      <c r="A19" s="2" t="s">
        <v>18</v>
      </c>
      <c r="B19" s="11" t="s">
        <v>19</v>
      </c>
      <c r="C19" s="14" t="s">
        <v>72</v>
      </c>
      <c r="D19" s="11"/>
      <c r="E19" s="12"/>
      <c r="F19" s="1"/>
      <c r="G19" s="1"/>
      <c r="H19" s="1"/>
      <c r="I19" s="1"/>
      <c r="J19" s="1"/>
      <c r="K19" s="1"/>
      <c r="L19" s="11"/>
    </row>
    <row r="20" spans="1:12" ht="13.5" thickBot="1" x14ac:dyDescent="0.25">
      <c r="A20" s="2">
        <v>3</v>
      </c>
      <c r="B20" s="11" t="s">
        <v>21</v>
      </c>
      <c r="C20" s="14">
        <v>3753</v>
      </c>
      <c r="D20" s="11"/>
      <c r="E20" s="12"/>
      <c r="F20" s="15"/>
      <c r="G20" s="15"/>
      <c r="H20" s="16"/>
      <c r="I20" s="16"/>
      <c r="J20" s="11"/>
      <c r="K20" s="11"/>
      <c r="L20" s="11"/>
    </row>
    <row r="21" spans="1:12" ht="13.9" customHeight="1" thickBot="1" x14ac:dyDescent="0.25">
      <c r="A21" s="2" t="s">
        <v>22</v>
      </c>
      <c r="B21" s="11" t="s">
        <v>23</v>
      </c>
      <c r="C21" s="14">
        <v>4270850</v>
      </c>
      <c r="E21" s="12"/>
      <c r="F21" s="15"/>
      <c r="G21" s="15"/>
      <c r="H21" s="16"/>
      <c r="I21" s="17" t="s">
        <v>24</v>
      </c>
      <c r="J21" s="52" t="s">
        <v>25</v>
      </c>
      <c r="K21" s="49"/>
      <c r="L21" s="11"/>
    </row>
    <row r="22" spans="1:12" x14ac:dyDescent="0.2">
      <c r="A22" s="2">
        <v>0</v>
      </c>
      <c r="B22" s="11" t="s">
        <v>26</v>
      </c>
      <c r="C22" s="14" t="s">
        <v>27</v>
      </c>
      <c r="D22" s="11"/>
      <c r="E22" s="12"/>
      <c r="F22" s="12"/>
      <c r="G22" s="12"/>
      <c r="H22" s="11"/>
      <c r="I22" s="11"/>
      <c r="J22" s="11"/>
      <c r="K22" s="11"/>
      <c r="L22" s="11"/>
    </row>
    <row r="23" spans="1:12" ht="4.1500000000000004" customHeight="1" x14ac:dyDescent="0.2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</row>
    <row r="24" spans="1:12" s="20" customFormat="1" ht="22.5" x14ac:dyDescent="0.2">
      <c r="A24" s="18" t="s">
        <v>28</v>
      </c>
      <c r="B24" s="19" t="s">
        <v>29</v>
      </c>
      <c r="C24" s="19" t="s">
        <v>30</v>
      </c>
      <c r="D24" s="19" t="s">
        <v>31</v>
      </c>
      <c r="E24" s="19" t="s">
        <v>32</v>
      </c>
      <c r="F24" s="19" t="s">
        <v>33</v>
      </c>
      <c r="G24" s="19" t="s">
        <v>34</v>
      </c>
      <c r="H24" s="19" t="s">
        <v>35</v>
      </c>
      <c r="I24" s="19" t="s">
        <v>36</v>
      </c>
      <c r="J24" s="19" t="s">
        <v>37</v>
      </c>
      <c r="K24" s="19" t="s">
        <v>38</v>
      </c>
      <c r="L24" s="19" t="s">
        <v>39</v>
      </c>
    </row>
    <row r="25" spans="1:12" x14ac:dyDescent="0.2">
      <c r="A25" s="21">
        <v>567</v>
      </c>
      <c r="B25" s="22">
        <v>483</v>
      </c>
      <c r="C25" s="23" t="s">
        <v>73</v>
      </c>
      <c r="D25" s="24">
        <v>68049337</v>
      </c>
      <c r="E25" s="25" t="s">
        <v>74</v>
      </c>
      <c r="F25" s="26">
        <v>45737</v>
      </c>
      <c r="G25" s="25">
        <v>3522844</v>
      </c>
      <c r="H25" s="23" t="s">
        <v>75</v>
      </c>
      <c r="I25" s="25" t="s">
        <v>76</v>
      </c>
      <c r="J25" s="27">
        <v>2465</v>
      </c>
      <c r="K25" s="27">
        <v>1629.8600000000001</v>
      </c>
      <c r="L25" s="27">
        <v>835.14</v>
      </c>
    </row>
    <row r="26" spans="1:12" x14ac:dyDescent="0.2">
      <c r="A26" s="21">
        <v>568</v>
      </c>
      <c r="B26" s="22">
        <v>483</v>
      </c>
      <c r="C26" s="23" t="s">
        <v>73</v>
      </c>
      <c r="D26" s="24">
        <v>68049337</v>
      </c>
      <c r="E26" s="25" t="s">
        <v>74</v>
      </c>
      <c r="F26" s="26">
        <v>45737</v>
      </c>
      <c r="G26" s="25">
        <v>3522893</v>
      </c>
      <c r="H26" s="23" t="s">
        <v>77</v>
      </c>
      <c r="I26" s="25" t="s">
        <v>78</v>
      </c>
      <c r="J26" s="27">
        <v>2518</v>
      </c>
      <c r="K26" s="27">
        <v>1664.9</v>
      </c>
      <c r="L26" s="27">
        <v>853.1</v>
      </c>
    </row>
    <row r="27" spans="1:12" ht="22.5" x14ac:dyDescent="0.2">
      <c r="A27" s="21">
        <v>569</v>
      </c>
      <c r="B27" s="22">
        <v>483</v>
      </c>
      <c r="C27" s="23" t="s">
        <v>73</v>
      </c>
      <c r="D27" s="24">
        <v>68049337</v>
      </c>
      <c r="E27" s="25" t="s">
        <v>74</v>
      </c>
      <c r="F27" s="26">
        <v>45737</v>
      </c>
      <c r="G27" s="25">
        <v>6868061</v>
      </c>
      <c r="H27" s="23" t="s">
        <v>79</v>
      </c>
      <c r="I27" s="25" t="s">
        <v>80</v>
      </c>
      <c r="J27" s="27">
        <v>60</v>
      </c>
      <c r="K27" s="27">
        <v>39.67</v>
      </c>
      <c r="L27" s="27">
        <v>20.329999999999998</v>
      </c>
    </row>
    <row r="28" spans="1:12" x14ac:dyDescent="0.2">
      <c r="B28" s="12"/>
      <c r="C28" s="28"/>
      <c r="D28" s="29"/>
      <c r="E28" s="15"/>
      <c r="F28" s="15"/>
      <c r="G28" s="15"/>
      <c r="H28" s="15"/>
      <c r="I28" s="30"/>
      <c r="J28" s="30"/>
      <c r="K28" s="11"/>
      <c r="L28" s="11"/>
    </row>
    <row r="29" spans="1:12" x14ac:dyDescent="0.2">
      <c r="B29" s="12"/>
      <c r="C29" s="28"/>
      <c r="D29" s="29"/>
      <c r="E29" s="12"/>
      <c r="F29" s="11"/>
      <c r="G29" s="11"/>
      <c r="H29" s="11"/>
      <c r="I29" s="30"/>
      <c r="J29" s="30"/>
      <c r="K29" s="11"/>
      <c r="L29" s="11"/>
    </row>
    <row r="30" spans="1:12" ht="13.5" thickBot="1" x14ac:dyDescent="0.25">
      <c r="B30" s="12"/>
      <c r="C30" s="28"/>
      <c r="D30" s="11" t="s">
        <v>62</v>
      </c>
      <c r="E30" s="31"/>
      <c r="F30" s="31"/>
      <c r="G30" s="31"/>
      <c r="H30" s="32"/>
      <c r="I30" s="11"/>
      <c r="J30" s="30"/>
      <c r="K30" s="11"/>
      <c r="L30" s="33">
        <v>1708.57</v>
      </c>
    </row>
    <row r="31" spans="1:12" ht="13.5" thickTop="1" x14ac:dyDescent="0.2">
      <c r="B31" s="12"/>
      <c r="C31" s="28"/>
      <c r="D31" s="35"/>
      <c r="E31" s="31"/>
      <c r="F31" s="31"/>
      <c r="G31" s="31"/>
      <c r="H31" s="32"/>
      <c r="I31" s="11"/>
      <c r="J31" s="30"/>
      <c r="K31" s="11"/>
      <c r="L31" s="36"/>
    </row>
    <row r="35" spans="3:11" ht="59.65" customHeight="1" x14ac:dyDescent="0.25">
      <c r="C35"/>
      <c r="D35"/>
      <c r="E35"/>
      <c r="F35"/>
      <c r="G35"/>
      <c r="H35"/>
      <c r="I35"/>
      <c r="J35"/>
      <c r="K35"/>
    </row>
  </sheetData>
  <mergeCells count="4">
    <mergeCell ref="I14:J14"/>
    <mergeCell ref="B16:L16"/>
    <mergeCell ref="B17:L17"/>
    <mergeCell ref="J21:K21"/>
  </mergeCells>
  <dataValidations count="1">
    <dataValidation type="list" allowBlank="1" showInputMessage="1" showErrorMessage="1" sqref="C19:D19" xr:uid="{CEE85D90-D040-4EEF-853D-BFC3A369A35B}">
      <formula1>#REF!</formula1>
    </dataValidation>
  </dataValidations>
  <pageMargins left="0.25" right="0.25" top="0.5" bottom="0.5" header="0.3" footer="0.3"/>
  <pageSetup scale="94" fitToHeight="0" orientation="landscape" r:id="rId1"/>
  <headerFooter differentFirst="1">
    <oddFooter>&amp;L&amp;P</oddFooter>
    <firstFooter>&amp;L&amp;P&amp;C&amp;"Calibri,Bold"YOUR PROMPT PAYMENT WILL BE GREATLY APPRECIATED.
IF ANY OF THESE CLAIMS WERE BILLED IN ERROR, PLEASE EMAIL YVONNE AGUILAR  AT YVONNE.AGUILAR@BANNERHEALTH.COM, SO WE CAN BILL THE PATIENT IN A TIMELY MANNER.  THANK YOU.</first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E720B-6929-434B-A6BB-08DC1AD540B8}">
  <sheetPr>
    <tabColor theme="0"/>
    <pageSetUpPr fitToPage="1"/>
  </sheetPr>
  <dimension ref="A1:O49"/>
  <sheetViews>
    <sheetView topLeftCell="B14" zoomScaleNormal="100" workbookViewId="0">
      <selection activeCell="N31" sqref="N31"/>
    </sheetView>
  </sheetViews>
  <sheetFormatPr defaultColWidth="8.85546875" defaultRowHeight="12.75" x14ac:dyDescent="0.2"/>
  <cols>
    <col min="1" max="1" width="8.85546875" style="2" hidden="1" customWidth="1"/>
    <col min="2" max="2" width="13.28515625" style="2" customWidth="1"/>
    <col min="3" max="3" width="14.5703125" style="2" hidden="1" customWidth="1"/>
    <col min="4" max="4" width="14" style="2" customWidth="1"/>
    <col min="5" max="5" width="18.42578125" style="2" hidden="1" customWidth="1"/>
    <col min="6" max="7" width="11.42578125" style="2" customWidth="1"/>
    <col min="8" max="8" width="8.85546875" style="2"/>
    <col min="9" max="9" width="19.7109375" style="2" customWidth="1"/>
    <col min="10" max="10" width="10.28515625" style="2" customWidth="1"/>
    <col min="11" max="11" width="11.85546875" style="2" customWidth="1"/>
    <col min="12" max="12" width="9.5703125" style="2" customWidth="1"/>
    <col min="13" max="13" width="12.5703125" style="2" customWidth="1"/>
    <col min="14" max="16384" width="8.85546875" style="2"/>
  </cols>
  <sheetData>
    <row r="1" spans="2:12" x14ac:dyDescent="0.2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x14ac:dyDescent="0.2">
      <c r="B2" s="1"/>
      <c r="C2" s="1"/>
      <c r="D2" s="1"/>
      <c r="E2" s="1"/>
      <c r="F2" s="1"/>
      <c r="G2" s="37" t="s">
        <v>311</v>
      </c>
      <c r="H2" s="1"/>
      <c r="I2" s="3" t="s">
        <v>0</v>
      </c>
      <c r="J2" s="4" t="s">
        <v>81</v>
      </c>
      <c r="K2" s="1"/>
      <c r="L2" s="1"/>
    </row>
    <row r="3" spans="2:12" x14ac:dyDescent="0.2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2:12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2:12" x14ac:dyDescent="0.2"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2:12" ht="4.9000000000000004" customHeight="1" x14ac:dyDescent="0.2"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2:12" x14ac:dyDescent="0.2">
      <c r="B7" s="3" t="s">
        <v>2</v>
      </c>
      <c r="C7" s="1"/>
      <c r="D7" s="1"/>
      <c r="E7" s="1"/>
      <c r="F7" s="1"/>
      <c r="G7" s="1"/>
      <c r="H7" s="1"/>
      <c r="I7" s="5" t="s">
        <v>3</v>
      </c>
      <c r="J7" s="1"/>
      <c r="K7" s="1"/>
      <c r="L7" s="1"/>
    </row>
    <row r="8" spans="2:12" x14ac:dyDescent="0.2">
      <c r="B8" s="3" t="s">
        <v>4</v>
      </c>
      <c r="C8" s="1"/>
      <c r="D8" s="1"/>
      <c r="E8" s="1"/>
      <c r="F8" s="1"/>
      <c r="G8" s="1"/>
      <c r="H8" s="1"/>
      <c r="I8" s="3" t="s">
        <v>5</v>
      </c>
      <c r="J8" s="1"/>
      <c r="K8" s="1"/>
      <c r="L8" s="1"/>
    </row>
    <row r="9" spans="2:12" x14ac:dyDescent="0.2">
      <c r="B9" s="3" t="s">
        <v>6</v>
      </c>
      <c r="C9" s="1"/>
      <c r="D9" s="1"/>
      <c r="E9" s="1"/>
      <c r="F9" s="1"/>
      <c r="G9" s="1"/>
      <c r="H9" s="1"/>
      <c r="I9" s="3" t="s">
        <v>7</v>
      </c>
      <c r="J9" s="1"/>
      <c r="K9" s="1"/>
      <c r="L9" s="1"/>
    </row>
    <row r="10" spans="2:12" x14ac:dyDescent="0.2">
      <c r="B10" s="3" t="s">
        <v>8</v>
      </c>
      <c r="C10" s="1"/>
      <c r="D10" s="1"/>
      <c r="E10" s="1"/>
      <c r="F10" s="1"/>
      <c r="G10" s="1"/>
      <c r="H10" s="1"/>
      <c r="I10" s="6" t="s">
        <v>9</v>
      </c>
      <c r="J10" s="1"/>
      <c r="K10" s="1"/>
      <c r="L10" s="1"/>
    </row>
    <row r="11" spans="2:12" x14ac:dyDescent="0.2">
      <c r="B11" s="3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2:12" x14ac:dyDescent="0.2">
      <c r="B12" s="3" t="s">
        <v>11</v>
      </c>
      <c r="C12" s="1"/>
      <c r="D12" s="1"/>
      <c r="E12" s="1"/>
      <c r="F12" s="1"/>
      <c r="G12" s="1"/>
      <c r="H12" s="1"/>
      <c r="I12" s="6" t="s">
        <v>12</v>
      </c>
      <c r="J12" s="6" t="s">
        <v>13</v>
      </c>
      <c r="K12" s="6"/>
      <c r="L12" s="1"/>
    </row>
    <row r="13" spans="2:12" ht="4.1500000000000004" customHeight="1" thickBot="1" x14ac:dyDescent="0.25">
      <c r="B13" s="3"/>
      <c r="C13" s="1"/>
      <c r="D13" s="1"/>
      <c r="E13" s="1"/>
      <c r="F13" s="6"/>
      <c r="G13" s="6"/>
      <c r="H13" s="6"/>
      <c r="I13" s="1"/>
      <c r="J13" s="1"/>
      <c r="K13" s="1"/>
      <c r="L13" s="1"/>
    </row>
    <row r="14" spans="2:12" ht="13.5" thickBot="1" x14ac:dyDescent="0.25">
      <c r="B14" s="7"/>
      <c r="C14" s="1"/>
      <c r="D14" s="1"/>
      <c r="E14" s="1"/>
      <c r="F14" s="1"/>
      <c r="G14" s="1"/>
      <c r="H14" s="1"/>
      <c r="I14" s="44" t="s">
        <v>14</v>
      </c>
      <c r="J14" s="45"/>
      <c r="K14" s="8" t="s">
        <v>15</v>
      </c>
      <c r="L14" s="9"/>
    </row>
    <row r="15" spans="2:12" ht="6" customHeight="1" thickBot="1" x14ac:dyDescent="0.25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2:12" ht="19.7" customHeight="1" thickTop="1" x14ac:dyDescent="0.2">
      <c r="B16" s="46" t="s">
        <v>16</v>
      </c>
      <c r="C16" s="46"/>
      <c r="D16" s="46"/>
      <c r="E16" s="46"/>
      <c r="F16" s="46"/>
      <c r="G16" s="46"/>
      <c r="H16" s="46"/>
      <c r="I16" s="46"/>
      <c r="J16" s="46"/>
      <c r="K16" s="46"/>
      <c r="L16" s="46"/>
    </row>
    <row r="17" spans="1:15" ht="15.6" customHeight="1" x14ac:dyDescent="0.2">
      <c r="B17" s="47">
        <v>45838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</row>
    <row r="18" spans="1:15" x14ac:dyDescent="0.2">
      <c r="B18" s="11" t="s">
        <v>307</v>
      </c>
      <c r="C18" s="11" t="s">
        <v>336</v>
      </c>
      <c r="D18" s="11" t="s">
        <v>336</v>
      </c>
      <c r="E18" s="12"/>
      <c r="F18" s="11"/>
      <c r="G18" s="11"/>
      <c r="H18" s="11"/>
      <c r="I18" s="1"/>
      <c r="J18" s="11"/>
      <c r="K18" s="11"/>
      <c r="L18" s="11"/>
    </row>
    <row r="19" spans="1:15" x14ac:dyDescent="0.2">
      <c r="A19" s="2" t="s">
        <v>18</v>
      </c>
      <c r="B19" s="11" t="s">
        <v>19</v>
      </c>
      <c r="C19" s="14" t="s">
        <v>82</v>
      </c>
      <c r="D19" s="14" t="s">
        <v>82</v>
      </c>
      <c r="E19" s="12"/>
      <c r="F19" s="1"/>
      <c r="G19" s="1"/>
      <c r="H19" s="1"/>
      <c r="I19" s="1"/>
      <c r="J19" s="1"/>
      <c r="K19" s="1"/>
      <c r="L19" s="11"/>
    </row>
    <row r="20" spans="1:15" ht="13.5" thickBot="1" x14ac:dyDescent="0.25">
      <c r="A20" s="2">
        <v>16</v>
      </c>
      <c r="B20" s="11" t="s">
        <v>21</v>
      </c>
      <c r="C20" s="14">
        <v>5616</v>
      </c>
      <c r="D20" s="14">
        <v>5616</v>
      </c>
      <c r="E20" s="12"/>
      <c r="F20" s="15"/>
      <c r="G20" s="15"/>
      <c r="H20" s="16"/>
      <c r="I20" s="16" t="s">
        <v>337</v>
      </c>
      <c r="J20" s="11"/>
      <c r="K20" s="11"/>
      <c r="L20" s="11"/>
    </row>
    <row r="21" spans="1:15" ht="13.9" customHeight="1" thickBot="1" x14ac:dyDescent="0.25">
      <c r="A21" s="2" t="s">
        <v>22</v>
      </c>
      <c r="B21" s="11" t="s">
        <v>23</v>
      </c>
      <c r="C21" s="14">
        <v>4277150</v>
      </c>
      <c r="D21" s="14">
        <v>4277150</v>
      </c>
      <c r="E21" s="12"/>
      <c r="F21" s="15"/>
      <c r="G21" s="15"/>
      <c r="H21" s="16"/>
      <c r="I21" s="17" t="s">
        <v>24</v>
      </c>
      <c r="J21" s="48">
        <f>L44</f>
        <v>303.59000000000003</v>
      </c>
      <c r="K21" s="49"/>
      <c r="L21" s="11"/>
    </row>
    <row r="22" spans="1:15" x14ac:dyDescent="0.2">
      <c r="A22" s="2">
        <v>0</v>
      </c>
      <c r="B22" s="11" t="s">
        <v>26</v>
      </c>
      <c r="C22" s="14" t="s">
        <v>27</v>
      </c>
      <c r="D22" s="14" t="s">
        <v>27</v>
      </c>
      <c r="E22" s="12"/>
      <c r="F22" s="12"/>
      <c r="G22" s="12"/>
      <c r="H22" s="11"/>
      <c r="I22" s="11"/>
      <c r="J22" s="11"/>
      <c r="K22" s="11"/>
      <c r="L22" s="11"/>
    </row>
    <row r="23" spans="1:15" ht="4.1500000000000004" customHeight="1" x14ac:dyDescent="0.2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</row>
    <row r="24" spans="1:15" s="20" customFormat="1" ht="22.5" x14ac:dyDescent="0.2">
      <c r="A24" s="18" t="s">
        <v>28</v>
      </c>
      <c r="B24" s="19" t="s">
        <v>29</v>
      </c>
      <c r="C24" s="19" t="s">
        <v>30</v>
      </c>
      <c r="D24" s="19" t="s">
        <v>31</v>
      </c>
      <c r="E24" s="19" t="s">
        <v>32</v>
      </c>
      <c r="F24" s="19" t="s">
        <v>33</v>
      </c>
      <c r="G24" s="19" t="s">
        <v>34</v>
      </c>
      <c r="H24" s="19" t="s">
        <v>35</v>
      </c>
      <c r="I24" s="19" t="s">
        <v>36</v>
      </c>
      <c r="J24" s="19" t="s">
        <v>37</v>
      </c>
      <c r="K24" s="19" t="s">
        <v>38</v>
      </c>
      <c r="L24" s="19" t="s">
        <v>39</v>
      </c>
      <c r="M24" s="20" t="s">
        <v>335</v>
      </c>
    </row>
    <row r="25" spans="1:15" ht="33.75" x14ac:dyDescent="0.2">
      <c r="A25" s="21">
        <v>698</v>
      </c>
      <c r="B25" s="22">
        <v>483</v>
      </c>
      <c r="C25" s="23" t="s">
        <v>83</v>
      </c>
      <c r="D25" s="24">
        <v>67769224</v>
      </c>
      <c r="E25" s="25" t="s">
        <v>84</v>
      </c>
      <c r="F25" s="26">
        <v>45805</v>
      </c>
      <c r="G25" s="25">
        <v>3062338</v>
      </c>
      <c r="H25" s="23" t="s">
        <v>85</v>
      </c>
      <c r="I25" s="25" t="s">
        <v>86</v>
      </c>
      <c r="J25" s="27">
        <v>166</v>
      </c>
      <c r="K25" s="27">
        <v>111.93</v>
      </c>
      <c r="L25" s="27">
        <v>54.07</v>
      </c>
      <c r="M25" s="2" t="s">
        <v>309</v>
      </c>
      <c r="N25" s="34"/>
      <c r="O25" s="34"/>
    </row>
    <row r="26" spans="1:15" x14ac:dyDescent="0.2">
      <c r="A26" s="21">
        <v>699</v>
      </c>
      <c r="B26" s="22">
        <v>483</v>
      </c>
      <c r="C26" s="23" t="s">
        <v>83</v>
      </c>
      <c r="D26" s="24">
        <v>67769224</v>
      </c>
      <c r="E26" s="25" t="s">
        <v>84</v>
      </c>
      <c r="F26" s="26">
        <v>45805</v>
      </c>
      <c r="G26" s="25">
        <v>3063716</v>
      </c>
      <c r="H26" s="23" t="s">
        <v>87</v>
      </c>
      <c r="I26" s="25" t="s">
        <v>88</v>
      </c>
      <c r="J26" s="27">
        <v>127</v>
      </c>
      <c r="K26" s="27">
        <v>104.18</v>
      </c>
      <c r="L26" s="27">
        <v>22.82</v>
      </c>
      <c r="M26" s="2" t="s">
        <v>309</v>
      </c>
      <c r="N26" s="34"/>
      <c r="O26" s="34"/>
    </row>
    <row r="27" spans="1:15" ht="22.5" x14ac:dyDescent="0.2">
      <c r="A27" s="21">
        <v>700</v>
      </c>
      <c r="B27" s="22">
        <v>483</v>
      </c>
      <c r="C27" s="23" t="s">
        <v>83</v>
      </c>
      <c r="D27" s="24">
        <v>67769224</v>
      </c>
      <c r="E27" s="25" t="s">
        <v>84</v>
      </c>
      <c r="F27" s="26">
        <v>45805</v>
      </c>
      <c r="G27" s="25">
        <v>3073061</v>
      </c>
      <c r="H27" s="23" t="s">
        <v>42</v>
      </c>
      <c r="I27" s="25" t="s">
        <v>43</v>
      </c>
      <c r="J27" s="27">
        <v>66</v>
      </c>
      <c r="K27" s="27">
        <v>55.92</v>
      </c>
      <c r="L27" s="27">
        <v>10.08</v>
      </c>
      <c r="M27" s="2" t="s">
        <v>309</v>
      </c>
      <c r="N27" s="34"/>
      <c r="O27" s="34"/>
    </row>
    <row r="28" spans="1:15" x14ac:dyDescent="0.2">
      <c r="A28" s="21">
        <v>701</v>
      </c>
      <c r="B28" s="22">
        <v>483</v>
      </c>
      <c r="C28" s="23" t="s">
        <v>83</v>
      </c>
      <c r="D28" s="24">
        <v>67769224</v>
      </c>
      <c r="E28" s="25" t="s">
        <v>84</v>
      </c>
      <c r="F28" s="26">
        <v>45805</v>
      </c>
      <c r="G28" s="25">
        <v>3073301</v>
      </c>
      <c r="H28" s="23" t="s">
        <v>89</v>
      </c>
      <c r="I28" s="25" t="s">
        <v>90</v>
      </c>
      <c r="J28" s="27">
        <v>207</v>
      </c>
      <c r="K28" s="27">
        <v>185.93</v>
      </c>
      <c r="L28" s="27">
        <v>21.07</v>
      </c>
      <c r="M28" s="2" t="s">
        <v>309</v>
      </c>
      <c r="N28" s="34"/>
      <c r="O28" s="34"/>
    </row>
    <row r="29" spans="1:15" x14ac:dyDescent="0.2">
      <c r="A29" s="21">
        <v>702</v>
      </c>
      <c r="B29" s="22">
        <v>483</v>
      </c>
      <c r="C29" s="23" t="s">
        <v>83</v>
      </c>
      <c r="D29" s="24">
        <v>67769224</v>
      </c>
      <c r="E29" s="25" t="s">
        <v>84</v>
      </c>
      <c r="F29" s="26">
        <v>45805</v>
      </c>
      <c r="G29" s="25">
        <v>3074085</v>
      </c>
      <c r="H29" s="23" t="s">
        <v>91</v>
      </c>
      <c r="I29" s="25" t="s">
        <v>92</v>
      </c>
      <c r="J29" s="27">
        <v>55</v>
      </c>
      <c r="K29" s="27">
        <v>46.54</v>
      </c>
      <c r="L29" s="27">
        <v>8.4600000000000009</v>
      </c>
      <c r="M29" s="2" t="s">
        <v>309</v>
      </c>
      <c r="N29" s="34"/>
      <c r="O29" s="34"/>
    </row>
    <row r="30" spans="1:15" ht="22.5" x14ac:dyDescent="0.2">
      <c r="A30" s="21">
        <v>703</v>
      </c>
      <c r="B30" s="22">
        <v>483</v>
      </c>
      <c r="C30" s="23" t="s">
        <v>83</v>
      </c>
      <c r="D30" s="24">
        <v>67769224</v>
      </c>
      <c r="E30" s="25" t="s">
        <v>84</v>
      </c>
      <c r="F30" s="26">
        <v>45805</v>
      </c>
      <c r="G30" s="25">
        <v>3075454</v>
      </c>
      <c r="H30" s="23" t="s">
        <v>93</v>
      </c>
      <c r="I30" s="25" t="s">
        <v>94</v>
      </c>
      <c r="J30" s="27">
        <v>243</v>
      </c>
      <c r="K30" s="27">
        <v>188.04</v>
      </c>
      <c r="L30" s="27">
        <v>54.96</v>
      </c>
      <c r="M30" s="2" t="s">
        <v>309</v>
      </c>
      <c r="N30" s="34"/>
      <c r="O30" s="34"/>
    </row>
    <row r="31" spans="1:15" x14ac:dyDescent="0.2">
      <c r="A31" s="21">
        <v>704</v>
      </c>
      <c r="B31" s="22">
        <v>483</v>
      </c>
      <c r="C31" s="23" t="s">
        <v>83</v>
      </c>
      <c r="D31" s="24">
        <v>67769224</v>
      </c>
      <c r="E31" s="25" t="s">
        <v>84</v>
      </c>
      <c r="F31" s="26">
        <v>45805</v>
      </c>
      <c r="G31" s="25">
        <v>3076460</v>
      </c>
      <c r="H31" s="23" t="s">
        <v>95</v>
      </c>
      <c r="I31" s="25" t="s">
        <v>96</v>
      </c>
      <c r="J31" s="27">
        <v>245</v>
      </c>
      <c r="K31" s="27">
        <v>227.54</v>
      </c>
      <c r="L31" s="27">
        <v>17.46</v>
      </c>
      <c r="M31" s="2" t="s">
        <v>309</v>
      </c>
      <c r="N31" s="34"/>
      <c r="O31" s="34"/>
    </row>
    <row r="32" spans="1:15" ht="33.75" x14ac:dyDescent="0.2">
      <c r="A32" s="21">
        <v>705</v>
      </c>
      <c r="B32" s="22">
        <v>483</v>
      </c>
      <c r="C32" s="23" t="s">
        <v>83</v>
      </c>
      <c r="D32" s="24">
        <v>67769224</v>
      </c>
      <c r="E32" s="25" t="s">
        <v>84</v>
      </c>
      <c r="F32" s="26">
        <v>45805</v>
      </c>
      <c r="G32" s="25">
        <v>3076486</v>
      </c>
      <c r="H32" s="23" t="s">
        <v>48</v>
      </c>
      <c r="I32" s="25" t="s">
        <v>49</v>
      </c>
      <c r="J32" s="27">
        <v>124</v>
      </c>
      <c r="K32" s="27">
        <v>100.48</v>
      </c>
      <c r="L32" s="27">
        <v>23.52</v>
      </c>
      <c r="M32" s="2" t="s">
        <v>309</v>
      </c>
      <c r="N32" s="34"/>
      <c r="O32" s="34"/>
    </row>
    <row r="33" spans="1:15" x14ac:dyDescent="0.2">
      <c r="A33" s="21">
        <v>706</v>
      </c>
      <c r="B33" s="22">
        <v>483</v>
      </c>
      <c r="C33" s="23" t="s">
        <v>83</v>
      </c>
      <c r="D33" s="24">
        <v>67769224</v>
      </c>
      <c r="E33" s="25" t="s">
        <v>84</v>
      </c>
      <c r="F33" s="26">
        <v>45805</v>
      </c>
      <c r="G33" s="25">
        <v>3076544</v>
      </c>
      <c r="H33" s="23" t="s">
        <v>97</v>
      </c>
      <c r="I33" s="25" t="s">
        <v>98</v>
      </c>
      <c r="J33" s="27">
        <v>136</v>
      </c>
      <c r="K33" s="27">
        <v>129.66999999999999</v>
      </c>
      <c r="L33" s="27">
        <v>6.33</v>
      </c>
      <c r="M33" s="2" t="s">
        <v>309</v>
      </c>
      <c r="N33" s="34"/>
      <c r="O33" s="34"/>
    </row>
    <row r="34" spans="1:15" ht="22.5" x14ac:dyDescent="0.2">
      <c r="A34" s="21">
        <v>707</v>
      </c>
      <c r="B34" s="22">
        <v>483</v>
      </c>
      <c r="C34" s="23" t="s">
        <v>83</v>
      </c>
      <c r="D34" s="24">
        <v>67769224</v>
      </c>
      <c r="E34" s="25" t="s">
        <v>84</v>
      </c>
      <c r="F34" s="26">
        <v>45805</v>
      </c>
      <c r="G34" s="25">
        <v>3078201</v>
      </c>
      <c r="H34" s="23" t="s">
        <v>99</v>
      </c>
      <c r="I34" s="25" t="s">
        <v>100</v>
      </c>
      <c r="J34" s="27">
        <v>120</v>
      </c>
      <c r="K34" s="27">
        <v>103.52</v>
      </c>
      <c r="L34" s="27">
        <v>16.48</v>
      </c>
      <c r="M34" s="2" t="s">
        <v>309</v>
      </c>
      <c r="N34" s="34"/>
      <c r="O34" s="34"/>
    </row>
    <row r="35" spans="1:15" ht="22.5" x14ac:dyDescent="0.2">
      <c r="A35" s="21">
        <v>708</v>
      </c>
      <c r="B35" s="22">
        <v>483</v>
      </c>
      <c r="C35" s="23" t="s">
        <v>83</v>
      </c>
      <c r="D35" s="24">
        <v>67769224</v>
      </c>
      <c r="E35" s="25" t="s">
        <v>84</v>
      </c>
      <c r="F35" s="26">
        <v>45805</v>
      </c>
      <c r="G35" s="25">
        <v>3078227</v>
      </c>
      <c r="H35" s="23" t="s">
        <v>101</v>
      </c>
      <c r="I35" s="25" t="s">
        <v>102</v>
      </c>
      <c r="J35" s="27">
        <v>120</v>
      </c>
      <c r="K35" s="27">
        <v>104.96000000000001</v>
      </c>
      <c r="L35" s="27">
        <v>15.04</v>
      </c>
      <c r="M35" s="2" t="s">
        <v>309</v>
      </c>
      <c r="N35" s="34"/>
      <c r="O35" s="34"/>
    </row>
    <row r="36" spans="1:15" x14ac:dyDescent="0.2">
      <c r="A36" s="21">
        <v>709</v>
      </c>
      <c r="B36" s="22">
        <v>483</v>
      </c>
      <c r="C36" s="23" t="s">
        <v>83</v>
      </c>
      <c r="D36" s="24">
        <v>67769224</v>
      </c>
      <c r="E36" s="25" t="s">
        <v>84</v>
      </c>
      <c r="F36" s="26">
        <v>45805</v>
      </c>
      <c r="G36" s="25">
        <v>3078243</v>
      </c>
      <c r="H36" s="23" t="s">
        <v>103</v>
      </c>
      <c r="I36" s="25" t="s">
        <v>104</v>
      </c>
      <c r="J36" s="27">
        <v>163</v>
      </c>
      <c r="K36" s="27">
        <v>143.02000000000001</v>
      </c>
      <c r="L36" s="27">
        <v>19.98</v>
      </c>
      <c r="M36" s="2" t="s">
        <v>309</v>
      </c>
      <c r="N36" s="34"/>
      <c r="O36" s="34"/>
    </row>
    <row r="37" spans="1:15" ht="22.5" x14ac:dyDescent="0.2">
      <c r="A37" s="21">
        <v>710</v>
      </c>
      <c r="B37" s="22">
        <v>483</v>
      </c>
      <c r="C37" s="23" t="s">
        <v>83</v>
      </c>
      <c r="D37" s="24">
        <v>67769224</v>
      </c>
      <c r="E37" s="25" t="s">
        <v>84</v>
      </c>
      <c r="F37" s="26">
        <v>45805</v>
      </c>
      <c r="G37" s="25">
        <v>3086303</v>
      </c>
      <c r="H37" s="23" t="s">
        <v>52</v>
      </c>
      <c r="I37" s="25" t="s">
        <v>53</v>
      </c>
      <c r="J37" s="27">
        <v>87</v>
      </c>
      <c r="K37" s="27">
        <v>80.989999999999995</v>
      </c>
      <c r="L37" s="27">
        <v>6.01</v>
      </c>
      <c r="M37" s="2" t="s">
        <v>309</v>
      </c>
      <c r="N37" s="34"/>
      <c r="O37" s="34"/>
    </row>
    <row r="38" spans="1:15" ht="22.5" x14ac:dyDescent="0.2">
      <c r="A38" s="21">
        <v>711</v>
      </c>
      <c r="B38" s="22">
        <v>483</v>
      </c>
      <c r="C38" s="23" t="s">
        <v>83</v>
      </c>
      <c r="D38" s="24">
        <v>67769224</v>
      </c>
      <c r="E38" s="25" t="s">
        <v>84</v>
      </c>
      <c r="F38" s="26">
        <v>45805</v>
      </c>
      <c r="G38" s="25">
        <v>3086428</v>
      </c>
      <c r="H38" s="23" t="s">
        <v>54</v>
      </c>
      <c r="I38" s="25" t="s">
        <v>55</v>
      </c>
      <c r="J38" s="27">
        <v>82</v>
      </c>
      <c r="K38" s="27">
        <v>73.59</v>
      </c>
      <c r="L38" s="27">
        <v>8.41</v>
      </c>
      <c r="M38" s="2" t="s">
        <v>309</v>
      </c>
      <c r="N38" s="34"/>
      <c r="O38" s="34"/>
    </row>
    <row r="39" spans="1:15" ht="22.5" x14ac:dyDescent="0.2">
      <c r="A39" s="21">
        <v>712</v>
      </c>
      <c r="B39" s="22">
        <v>483</v>
      </c>
      <c r="C39" s="23" t="s">
        <v>83</v>
      </c>
      <c r="D39" s="24">
        <v>67769224</v>
      </c>
      <c r="E39" s="25" t="s">
        <v>84</v>
      </c>
      <c r="F39" s="26">
        <v>45805</v>
      </c>
      <c r="G39" s="25">
        <v>3087228</v>
      </c>
      <c r="H39" s="23" t="s">
        <v>105</v>
      </c>
      <c r="I39" s="25" t="s">
        <v>106</v>
      </c>
      <c r="J39" s="27">
        <v>129</v>
      </c>
      <c r="K39" s="27">
        <v>114.53999999999999</v>
      </c>
      <c r="L39" s="27">
        <v>14.46</v>
      </c>
      <c r="M39" s="2" t="s">
        <v>309</v>
      </c>
      <c r="N39" s="34"/>
      <c r="O39" s="34"/>
    </row>
    <row r="40" spans="1:15" ht="22.5" x14ac:dyDescent="0.2">
      <c r="A40" s="21">
        <v>713</v>
      </c>
      <c r="B40" s="22">
        <v>483</v>
      </c>
      <c r="C40" s="23" t="s">
        <v>83</v>
      </c>
      <c r="D40" s="24">
        <v>67769224</v>
      </c>
      <c r="E40" s="25" t="s">
        <v>84</v>
      </c>
      <c r="F40" s="26">
        <v>45805</v>
      </c>
      <c r="G40" s="25">
        <v>3088119</v>
      </c>
      <c r="H40" s="23" t="s">
        <v>107</v>
      </c>
      <c r="I40" s="25" t="s">
        <v>108</v>
      </c>
      <c r="J40" s="27">
        <v>62</v>
      </c>
      <c r="K40" s="27">
        <v>57.56</v>
      </c>
      <c r="L40" s="27">
        <v>4.4400000000000004</v>
      </c>
      <c r="M40" s="2" t="s">
        <v>309</v>
      </c>
      <c r="N40" s="34"/>
      <c r="O40" s="34"/>
    </row>
    <row r="41" spans="1:15" x14ac:dyDescent="0.2">
      <c r="B41" s="12"/>
      <c r="C41" s="28"/>
      <c r="D41" s="29"/>
      <c r="E41" s="12"/>
      <c r="F41" s="12"/>
      <c r="G41" s="12"/>
      <c r="H41" s="30"/>
      <c r="I41" s="30"/>
      <c r="J41" s="30"/>
      <c r="K41" s="36"/>
      <c r="L41" s="11"/>
    </row>
    <row r="42" spans="1:15" x14ac:dyDescent="0.2">
      <c r="B42" s="12"/>
      <c r="C42" s="28"/>
      <c r="D42" s="29"/>
      <c r="E42" s="15"/>
      <c r="F42" s="15"/>
      <c r="G42" s="15"/>
      <c r="H42" s="15"/>
      <c r="I42" s="30"/>
      <c r="J42" s="30"/>
      <c r="K42" s="11"/>
      <c r="L42" s="11"/>
    </row>
    <row r="43" spans="1:15" x14ac:dyDescent="0.2">
      <c r="B43" s="12"/>
      <c r="C43" s="28"/>
      <c r="D43" s="29"/>
      <c r="E43" s="12"/>
      <c r="F43" s="11"/>
      <c r="G43" s="11"/>
      <c r="H43" s="11"/>
      <c r="I43" s="30"/>
      <c r="J43" s="30"/>
      <c r="K43" s="11"/>
      <c r="L43" s="11"/>
    </row>
    <row r="44" spans="1:15" ht="13.5" thickBot="1" x14ac:dyDescent="0.25">
      <c r="B44" s="12"/>
      <c r="C44" s="28"/>
      <c r="D44" s="11" t="s">
        <v>62</v>
      </c>
      <c r="E44" s="31"/>
      <c r="F44" s="31"/>
      <c r="G44" s="31"/>
      <c r="H44" s="32"/>
      <c r="I44" s="11"/>
      <c r="J44" s="30"/>
      <c r="K44" s="11"/>
      <c r="L44" s="33">
        <f>SUM(L25:L40)</f>
        <v>303.59000000000003</v>
      </c>
    </row>
    <row r="45" spans="1:15" ht="13.5" thickTop="1" x14ac:dyDescent="0.2">
      <c r="B45" s="12"/>
      <c r="C45" s="28"/>
      <c r="D45" s="35"/>
      <c r="E45" s="31"/>
      <c r="F45" s="31"/>
      <c r="G45" s="31"/>
      <c r="H45" s="32"/>
      <c r="I45" s="11"/>
      <c r="J45" s="30"/>
      <c r="K45" s="11"/>
      <c r="L45" s="36"/>
    </row>
    <row r="49" spans="3:11" ht="59.65" customHeight="1" x14ac:dyDescent="0.25">
      <c r="C49"/>
      <c r="D49"/>
      <c r="E49"/>
      <c r="F49"/>
      <c r="G49"/>
      <c r="H49"/>
      <c r="I49"/>
      <c r="J49"/>
      <c r="K49"/>
    </row>
  </sheetData>
  <mergeCells count="4">
    <mergeCell ref="I14:J14"/>
    <mergeCell ref="B16:L16"/>
    <mergeCell ref="B17:L17"/>
    <mergeCell ref="J21:K21"/>
  </mergeCells>
  <dataValidations count="1">
    <dataValidation type="list" allowBlank="1" showInputMessage="1" showErrorMessage="1" sqref="C19:D19" xr:uid="{6BA28798-38EF-4DCC-9BD6-C2983373CCA6}">
      <formula1>#REF!</formula1>
    </dataValidation>
  </dataValidations>
  <pageMargins left="0.25" right="0.25" top="0.5" bottom="0.5" header="0.3" footer="0.3"/>
  <pageSetup scale="94" fitToHeight="0" orientation="landscape" r:id="rId1"/>
  <headerFooter differentFirst="1">
    <oddFooter>&amp;L&amp;P</oddFooter>
    <firstFooter>&amp;L&amp;P&amp;C&amp;"Calibri,Bold"YOUR PROMPT PAYMENT WILL BE GREATLY APPRECIATED.
IF ANY OF THESE CLAIMS WERE BILLED IN ERROR, PLEASE EMAIL YVONNE AGUILAR  AT YVONNE.AGUILAR@BANNERHEALTH.COM, SO WE CAN BILL THE PATIENT IN A TIMELY MANNER.  THANK YOU.</first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9CC43-4E8C-4DC6-871F-53D84D09253A}">
  <sheetPr>
    <tabColor rgb="FFFFFF00"/>
    <pageSetUpPr fitToPage="1"/>
  </sheetPr>
  <dimension ref="A1:L49"/>
  <sheetViews>
    <sheetView topLeftCell="B1" zoomScaleNormal="100" workbookViewId="0">
      <selection activeCell="G2" sqref="G2"/>
    </sheetView>
  </sheetViews>
  <sheetFormatPr defaultColWidth="8.85546875" defaultRowHeight="12.75" x14ac:dyDescent="0.2"/>
  <cols>
    <col min="1" max="1" width="14.42578125" style="2" hidden="1" customWidth="1"/>
    <col min="2" max="2" width="14.140625" style="2" customWidth="1"/>
    <col min="3" max="3" width="14.7109375" style="2" customWidth="1"/>
    <col min="4" max="4" width="14" style="2" customWidth="1"/>
    <col min="5" max="5" width="18.42578125" style="2" customWidth="1"/>
    <col min="6" max="7" width="11.42578125" style="2" customWidth="1"/>
    <col min="8" max="8" width="8.85546875" style="2"/>
    <col min="9" max="9" width="19.7109375" style="2" customWidth="1"/>
    <col min="10" max="10" width="10" style="2" customWidth="1"/>
    <col min="11" max="11" width="11.140625" style="2" customWidth="1"/>
    <col min="12" max="12" width="9.5703125" style="2" customWidth="1"/>
    <col min="13" max="16384" width="8.85546875" style="2"/>
  </cols>
  <sheetData>
    <row r="1" spans="2:12" x14ac:dyDescent="0.2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x14ac:dyDescent="0.2">
      <c r="B2" s="1"/>
      <c r="C2" s="1"/>
      <c r="D2" s="1"/>
      <c r="E2" s="1"/>
      <c r="F2" s="1"/>
      <c r="G2" s="37" t="s">
        <v>311</v>
      </c>
      <c r="H2" s="1"/>
      <c r="I2" s="3" t="s">
        <v>0</v>
      </c>
      <c r="J2" s="4" t="s">
        <v>109</v>
      </c>
      <c r="K2" s="1"/>
      <c r="L2" s="1"/>
    </row>
    <row r="3" spans="2:12" x14ac:dyDescent="0.2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2:12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2:12" x14ac:dyDescent="0.2"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2:12" ht="4.9000000000000004" customHeight="1" x14ac:dyDescent="0.2"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2:12" x14ac:dyDescent="0.2">
      <c r="B7" s="3" t="s">
        <v>2</v>
      </c>
      <c r="C7" s="1"/>
      <c r="D7" s="1"/>
      <c r="E7" s="1"/>
      <c r="F7" s="1"/>
      <c r="G7" s="1"/>
      <c r="H7" s="1"/>
      <c r="I7" s="5" t="s">
        <v>3</v>
      </c>
      <c r="J7" s="1"/>
      <c r="K7" s="1"/>
      <c r="L7" s="1"/>
    </row>
    <row r="8" spans="2:12" x14ac:dyDescent="0.2">
      <c r="B8" s="3" t="s">
        <v>4</v>
      </c>
      <c r="C8" s="1"/>
      <c r="D8" s="1"/>
      <c r="E8" s="1"/>
      <c r="F8" s="1"/>
      <c r="G8" s="1"/>
      <c r="H8" s="1"/>
      <c r="I8" s="3" t="s">
        <v>5</v>
      </c>
      <c r="J8" s="1"/>
      <c r="K8" s="1"/>
      <c r="L8" s="1"/>
    </row>
    <row r="9" spans="2:12" x14ac:dyDescent="0.2">
      <c r="B9" s="3" t="s">
        <v>6</v>
      </c>
      <c r="C9" s="1"/>
      <c r="D9" s="1"/>
      <c r="E9" s="1"/>
      <c r="F9" s="1"/>
      <c r="G9" s="1"/>
      <c r="H9" s="1"/>
      <c r="I9" s="3" t="s">
        <v>7</v>
      </c>
      <c r="J9" s="1"/>
      <c r="K9" s="1"/>
      <c r="L9" s="1"/>
    </row>
    <row r="10" spans="2:12" x14ac:dyDescent="0.2">
      <c r="B10" s="3" t="s">
        <v>8</v>
      </c>
      <c r="C10" s="1"/>
      <c r="D10" s="1"/>
      <c r="E10" s="1"/>
      <c r="F10" s="1"/>
      <c r="G10" s="1"/>
      <c r="H10" s="1"/>
      <c r="I10" s="6" t="s">
        <v>9</v>
      </c>
      <c r="J10" s="1"/>
      <c r="K10" s="1"/>
      <c r="L10" s="1"/>
    </row>
    <row r="11" spans="2:12" x14ac:dyDescent="0.2">
      <c r="B11" s="3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2:12" x14ac:dyDescent="0.2">
      <c r="B12" s="3" t="s">
        <v>11</v>
      </c>
      <c r="C12" s="1"/>
      <c r="D12" s="1"/>
      <c r="E12" s="1"/>
      <c r="F12" s="1"/>
      <c r="G12" s="1"/>
      <c r="H12" s="1"/>
      <c r="I12" s="6" t="s">
        <v>12</v>
      </c>
      <c r="J12" s="6" t="s">
        <v>13</v>
      </c>
      <c r="K12" s="6"/>
      <c r="L12" s="1"/>
    </row>
    <row r="13" spans="2:12" ht="4.1500000000000004" customHeight="1" thickBot="1" x14ac:dyDescent="0.25">
      <c r="B13" s="3"/>
      <c r="C13" s="1"/>
      <c r="D13" s="1"/>
      <c r="E13" s="1"/>
      <c r="F13" s="6"/>
      <c r="G13" s="6"/>
      <c r="H13" s="6"/>
      <c r="I13" s="1"/>
      <c r="J13" s="1"/>
      <c r="K13" s="1"/>
      <c r="L13" s="1"/>
    </row>
    <row r="14" spans="2:12" ht="13.5" thickBot="1" x14ac:dyDescent="0.25">
      <c r="B14" s="7"/>
      <c r="C14" s="1"/>
      <c r="D14" s="1"/>
      <c r="E14" s="1"/>
      <c r="F14" s="1"/>
      <c r="G14" s="1"/>
      <c r="H14" s="1"/>
      <c r="I14" s="44" t="s">
        <v>14</v>
      </c>
      <c r="J14" s="45"/>
      <c r="K14" s="8" t="s">
        <v>15</v>
      </c>
      <c r="L14" s="9"/>
    </row>
    <row r="15" spans="2:12" ht="6" customHeight="1" thickBot="1" x14ac:dyDescent="0.25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2:12" ht="19.7" customHeight="1" thickTop="1" x14ac:dyDescent="0.2">
      <c r="B16" s="46" t="s">
        <v>16</v>
      </c>
      <c r="C16" s="46"/>
      <c r="D16" s="46"/>
      <c r="E16" s="46"/>
      <c r="F16" s="46"/>
      <c r="G16" s="46"/>
      <c r="H16" s="46"/>
      <c r="I16" s="46"/>
      <c r="J16" s="46"/>
      <c r="K16" s="46"/>
      <c r="L16" s="46"/>
    </row>
    <row r="17" spans="1:12" ht="15.6" customHeight="1" x14ac:dyDescent="0.2">
      <c r="B17" s="47">
        <v>45838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</row>
    <row r="18" spans="1:12" x14ac:dyDescent="0.2">
      <c r="B18" s="11" t="s">
        <v>17</v>
      </c>
      <c r="C18" s="11"/>
      <c r="D18" s="11"/>
      <c r="E18" s="12"/>
      <c r="F18" s="11"/>
      <c r="G18" s="11"/>
      <c r="H18" s="11"/>
      <c r="I18" s="1"/>
      <c r="J18" s="11"/>
      <c r="K18" s="11"/>
      <c r="L18" s="11"/>
    </row>
    <row r="19" spans="1:12" x14ac:dyDescent="0.2">
      <c r="A19" s="2" t="s">
        <v>18</v>
      </c>
      <c r="B19" s="11" t="s">
        <v>19</v>
      </c>
      <c r="C19" s="14" t="s">
        <v>110</v>
      </c>
      <c r="D19" s="11"/>
      <c r="E19" s="12"/>
      <c r="F19" s="1"/>
      <c r="G19" s="1"/>
      <c r="H19" s="1"/>
      <c r="I19" s="1"/>
      <c r="J19" s="1"/>
      <c r="K19" s="1"/>
      <c r="L19" s="11"/>
    </row>
    <row r="20" spans="1:12" ht="13.5" thickBot="1" x14ac:dyDescent="0.25">
      <c r="A20" s="2">
        <v>16</v>
      </c>
      <c r="B20" s="11" t="s">
        <v>21</v>
      </c>
      <c r="C20" s="14">
        <v>1322</v>
      </c>
      <c r="D20" s="11"/>
      <c r="E20" s="12"/>
      <c r="F20" s="15"/>
      <c r="G20" s="15"/>
      <c r="H20" s="16"/>
      <c r="I20" s="16"/>
      <c r="J20" s="11"/>
      <c r="K20" s="11"/>
      <c r="L20" s="11"/>
    </row>
    <row r="21" spans="1:12" ht="13.9" customHeight="1" thickBot="1" x14ac:dyDescent="0.25">
      <c r="A21" s="2" t="s">
        <v>22</v>
      </c>
      <c r="B21" s="11" t="s">
        <v>23</v>
      </c>
      <c r="C21" s="14">
        <v>4261370</v>
      </c>
      <c r="E21" s="12"/>
      <c r="F21" s="15"/>
      <c r="G21" s="15"/>
      <c r="H21" s="16"/>
      <c r="I21" s="17" t="s">
        <v>24</v>
      </c>
      <c r="J21" s="52" t="s">
        <v>25</v>
      </c>
      <c r="K21" s="49"/>
      <c r="L21" s="11"/>
    </row>
    <row r="22" spans="1:12" x14ac:dyDescent="0.2">
      <c r="A22" s="2">
        <v>0</v>
      </c>
      <c r="B22" s="11" t="s">
        <v>26</v>
      </c>
      <c r="C22" s="14" t="s">
        <v>27</v>
      </c>
      <c r="D22" s="11"/>
      <c r="E22" s="12"/>
      <c r="F22" s="12"/>
      <c r="G22" s="12"/>
      <c r="H22" s="11"/>
      <c r="I22" s="11"/>
      <c r="J22" s="11"/>
      <c r="K22" s="11"/>
      <c r="L22" s="11"/>
    </row>
    <row r="23" spans="1:12" ht="4.1500000000000004" customHeight="1" x14ac:dyDescent="0.2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</row>
    <row r="24" spans="1:12" s="20" customFormat="1" ht="22.5" x14ac:dyDescent="0.2">
      <c r="A24" s="18" t="s">
        <v>28</v>
      </c>
      <c r="B24" s="19" t="s">
        <v>29</v>
      </c>
      <c r="C24" s="19" t="s">
        <v>30</v>
      </c>
      <c r="D24" s="19" t="s">
        <v>31</v>
      </c>
      <c r="E24" s="19" t="s">
        <v>32</v>
      </c>
      <c r="F24" s="19" t="s">
        <v>33</v>
      </c>
      <c r="G24" s="19" t="s">
        <v>34</v>
      </c>
      <c r="H24" s="19" t="s">
        <v>35</v>
      </c>
      <c r="I24" s="19" t="s">
        <v>36</v>
      </c>
      <c r="J24" s="19" t="s">
        <v>37</v>
      </c>
      <c r="K24" s="19" t="s">
        <v>38</v>
      </c>
      <c r="L24" s="19" t="s">
        <v>39</v>
      </c>
    </row>
    <row r="25" spans="1:12" ht="22.5" x14ac:dyDescent="0.2">
      <c r="A25" s="21">
        <v>132</v>
      </c>
      <c r="B25" s="22">
        <v>483</v>
      </c>
      <c r="C25" s="23" t="s">
        <v>111</v>
      </c>
      <c r="D25" s="24">
        <v>67538728</v>
      </c>
      <c r="E25" s="25" t="s">
        <v>112</v>
      </c>
      <c r="F25" s="26">
        <v>45783</v>
      </c>
      <c r="G25" s="25">
        <v>3073061</v>
      </c>
      <c r="H25" s="23" t="s">
        <v>42</v>
      </c>
      <c r="I25" s="25" t="s">
        <v>43</v>
      </c>
      <c r="J25" s="27">
        <v>66</v>
      </c>
      <c r="K25" s="27">
        <v>55.92</v>
      </c>
      <c r="L25" s="27">
        <v>10.08</v>
      </c>
    </row>
    <row r="26" spans="1:12" ht="22.5" x14ac:dyDescent="0.2">
      <c r="A26" s="21">
        <v>133</v>
      </c>
      <c r="B26" s="22">
        <v>483</v>
      </c>
      <c r="C26" s="23" t="s">
        <v>111</v>
      </c>
      <c r="D26" s="24">
        <v>67538728</v>
      </c>
      <c r="E26" s="25" t="s">
        <v>112</v>
      </c>
      <c r="F26" s="26">
        <v>45810</v>
      </c>
      <c r="G26" s="25">
        <v>3073061</v>
      </c>
      <c r="H26" s="23" t="s">
        <v>42</v>
      </c>
      <c r="I26" s="25" t="s">
        <v>43</v>
      </c>
      <c r="J26" s="27">
        <v>66</v>
      </c>
      <c r="K26" s="27">
        <v>55.92</v>
      </c>
      <c r="L26" s="27">
        <v>10.08</v>
      </c>
    </row>
    <row r="27" spans="1:12" x14ac:dyDescent="0.2">
      <c r="A27" s="21">
        <v>134</v>
      </c>
      <c r="B27" s="22">
        <v>483</v>
      </c>
      <c r="C27" s="23" t="s">
        <v>111</v>
      </c>
      <c r="D27" s="24">
        <v>67538728</v>
      </c>
      <c r="E27" s="25" t="s">
        <v>112</v>
      </c>
      <c r="F27" s="26">
        <v>45783</v>
      </c>
      <c r="G27" s="25">
        <v>3073624</v>
      </c>
      <c r="H27" s="23" t="s">
        <v>113</v>
      </c>
      <c r="I27" s="25" t="s">
        <v>114</v>
      </c>
      <c r="J27" s="27">
        <v>166</v>
      </c>
      <c r="K27" s="27">
        <v>152.41</v>
      </c>
      <c r="L27" s="27">
        <v>13.59</v>
      </c>
    </row>
    <row r="28" spans="1:12" ht="22.5" x14ac:dyDescent="0.2">
      <c r="A28" s="21">
        <v>135</v>
      </c>
      <c r="B28" s="22">
        <v>483</v>
      </c>
      <c r="C28" s="23" t="s">
        <v>111</v>
      </c>
      <c r="D28" s="24">
        <v>67538728</v>
      </c>
      <c r="E28" s="25" t="s">
        <v>112</v>
      </c>
      <c r="F28" s="26">
        <v>45783</v>
      </c>
      <c r="G28" s="25">
        <v>3073749</v>
      </c>
      <c r="H28" s="23" t="s">
        <v>58</v>
      </c>
      <c r="I28" s="25" t="s">
        <v>59</v>
      </c>
      <c r="J28" s="27">
        <v>97</v>
      </c>
      <c r="K28" s="27">
        <v>83.98</v>
      </c>
      <c r="L28" s="27">
        <v>13.02</v>
      </c>
    </row>
    <row r="29" spans="1:12" ht="22.5" x14ac:dyDescent="0.2">
      <c r="A29" s="21">
        <v>136</v>
      </c>
      <c r="B29" s="22">
        <v>483</v>
      </c>
      <c r="C29" s="23" t="s">
        <v>111</v>
      </c>
      <c r="D29" s="24">
        <v>67538728</v>
      </c>
      <c r="E29" s="25" t="s">
        <v>112</v>
      </c>
      <c r="F29" s="26">
        <v>45783</v>
      </c>
      <c r="G29" s="25">
        <v>3073749</v>
      </c>
      <c r="H29" s="23" t="s">
        <v>58</v>
      </c>
      <c r="I29" s="25" t="s">
        <v>59</v>
      </c>
      <c r="J29" s="27">
        <v>97</v>
      </c>
      <c r="K29" s="27">
        <v>83.98</v>
      </c>
      <c r="L29" s="27">
        <v>13.02</v>
      </c>
    </row>
    <row r="30" spans="1:12" ht="22.5" x14ac:dyDescent="0.2">
      <c r="A30" s="21">
        <v>137</v>
      </c>
      <c r="B30" s="22">
        <v>483</v>
      </c>
      <c r="C30" s="23" t="s">
        <v>111</v>
      </c>
      <c r="D30" s="24">
        <v>67538728</v>
      </c>
      <c r="E30" s="25" t="s">
        <v>112</v>
      </c>
      <c r="F30" s="26">
        <v>45783</v>
      </c>
      <c r="G30" s="25">
        <v>3073749</v>
      </c>
      <c r="H30" s="23" t="s">
        <v>58</v>
      </c>
      <c r="I30" s="25" t="s">
        <v>59</v>
      </c>
      <c r="J30" s="27">
        <v>97</v>
      </c>
      <c r="K30" s="27">
        <v>83.98</v>
      </c>
      <c r="L30" s="27">
        <v>13.02</v>
      </c>
    </row>
    <row r="31" spans="1:12" x14ac:dyDescent="0.2">
      <c r="A31" s="21">
        <v>138</v>
      </c>
      <c r="B31" s="22">
        <v>483</v>
      </c>
      <c r="C31" s="23" t="s">
        <v>111</v>
      </c>
      <c r="D31" s="24">
        <v>67538728</v>
      </c>
      <c r="E31" s="25" t="s">
        <v>112</v>
      </c>
      <c r="F31" s="26">
        <v>45783</v>
      </c>
      <c r="G31" s="25">
        <v>3074176</v>
      </c>
      <c r="H31" s="23" t="s">
        <v>44</v>
      </c>
      <c r="I31" s="25" t="s">
        <v>45</v>
      </c>
      <c r="J31" s="27">
        <v>93</v>
      </c>
      <c r="K31" s="27">
        <v>83.35</v>
      </c>
      <c r="L31" s="27">
        <v>9.65</v>
      </c>
    </row>
    <row r="32" spans="1:12" ht="22.5" x14ac:dyDescent="0.2">
      <c r="A32" s="21">
        <v>139</v>
      </c>
      <c r="B32" s="22">
        <v>483</v>
      </c>
      <c r="C32" s="23" t="s">
        <v>111</v>
      </c>
      <c r="D32" s="24">
        <v>67538728</v>
      </c>
      <c r="E32" s="25" t="s">
        <v>112</v>
      </c>
      <c r="F32" s="26">
        <v>45783</v>
      </c>
      <c r="G32" s="25">
        <v>3086303</v>
      </c>
      <c r="H32" s="23" t="s">
        <v>52</v>
      </c>
      <c r="I32" s="25" t="s">
        <v>53</v>
      </c>
      <c r="J32" s="27">
        <v>87</v>
      </c>
      <c r="K32" s="27">
        <v>80.989999999999995</v>
      </c>
      <c r="L32" s="27">
        <v>6.01</v>
      </c>
    </row>
    <row r="33" spans="1:12" ht="22.5" x14ac:dyDescent="0.2">
      <c r="A33" s="21">
        <v>140</v>
      </c>
      <c r="B33" s="22">
        <v>483</v>
      </c>
      <c r="C33" s="23" t="s">
        <v>111</v>
      </c>
      <c r="D33" s="24">
        <v>67538728</v>
      </c>
      <c r="E33" s="25" t="s">
        <v>112</v>
      </c>
      <c r="F33" s="26">
        <v>45783</v>
      </c>
      <c r="G33" s="25">
        <v>3086428</v>
      </c>
      <c r="H33" s="23" t="s">
        <v>54</v>
      </c>
      <c r="I33" s="25" t="s">
        <v>55</v>
      </c>
      <c r="J33" s="27">
        <v>82</v>
      </c>
      <c r="K33" s="27">
        <v>73.59</v>
      </c>
      <c r="L33" s="27">
        <v>8.41</v>
      </c>
    </row>
    <row r="34" spans="1:12" ht="22.5" x14ac:dyDescent="0.2">
      <c r="A34" s="21">
        <v>141</v>
      </c>
      <c r="B34" s="22">
        <v>483</v>
      </c>
      <c r="C34" s="23" t="s">
        <v>111</v>
      </c>
      <c r="D34" s="24">
        <v>67394031</v>
      </c>
      <c r="E34" s="25" t="s">
        <v>112</v>
      </c>
      <c r="F34" s="26">
        <v>45838</v>
      </c>
      <c r="G34" s="25">
        <v>3073061</v>
      </c>
      <c r="H34" s="23" t="s">
        <v>42</v>
      </c>
      <c r="I34" s="25" t="s">
        <v>43</v>
      </c>
      <c r="J34" s="27">
        <v>66</v>
      </c>
      <c r="K34" s="27">
        <v>55.92</v>
      </c>
      <c r="L34" s="27">
        <v>10.08</v>
      </c>
    </row>
    <row r="35" spans="1:12" x14ac:dyDescent="0.2">
      <c r="A35" s="21">
        <v>142</v>
      </c>
      <c r="B35" s="22">
        <v>483</v>
      </c>
      <c r="C35" s="23" t="s">
        <v>111</v>
      </c>
      <c r="D35" s="24">
        <v>67394031</v>
      </c>
      <c r="E35" s="25" t="s">
        <v>112</v>
      </c>
      <c r="F35" s="26">
        <v>45838</v>
      </c>
      <c r="G35" s="25">
        <v>3073624</v>
      </c>
      <c r="H35" s="23" t="s">
        <v>113</v>
      </c>
      <c r="I35" s="25" t="s">
        <v>114</v>
      </c>
      <c r="J35" s="27">
        <v>166</v>
      </c>
      <c r="K35" s="27">
        <v>152.41</v>
      </c>
      <c r="L35" s="27">
        <v>13.59</v>
      </c>
    </row>
    <row r="36" spans="1:12" ht="22.5" x14ac:dyDescent="0.2">
      <c r="A36" s="21">
        <v>143</v>
      </c>
      <c r="B36" s="22">
        <v>483</v>
      </c>
      <c r="C36" s="23" t="s">
        <v>111</v>
      </c>
      <c r="D36" s="24">
        <v>67394031</v>
      </c>
      <c r="E36" s="25" t="s">
        <v>112</v>
      </c>
      <c r="F36" s="26">
        <v>45838</v>
      </c>
      <c r="G36" s="25">
        <v>3073749</v>
      </c>
      <c r="H36" s="23" t="s">
        <v>58</v>
      </c>
      <c r="I36" s="25" t="s">
        <v>59</v>
      </c>
      <c r="J36" s="27">
        <v>97</v>
      </c>
      <c r="K36" s="27">
        <v>83.98</v>
      </c>
      <c r="L36" s="27">
        <v>13.02</v>
      </c>
    </row>
    <row r="37" spans="1:12" ht="22.5" x14ac:dyDescent="0.2">
      <c r="A37" s="21">
        <v>144</v>
      </c>
      <c r="B37" s="22">
        <v>483</v>
      </c>
      <c r="C37" s="23" t="s">
        <v>111</v>
      </c>
      <c r="D37" s="24">
        <v>67394031</v>
      </c>
      <c r="E37" s="25" t="s">
        <v>112</v>
      </c>
      <c r="F37" s="26">
        <v>45838</v>
      </c>
      <c r="G37" s="25">
        <v>3073749</v>
      </c>
      <c r="H37" s="23" t="s">
        <v>58</v>
      </c>
      <c r="I37" s="25" t="s">
        <v>59</v>
      </c>
      <c r="J37" s="27">
        <v>97</v>
      </c>
      <c r="K37" s="27">
        <v>83.98</v>
      </c>
      <c r="L37" s="27">
        <v>13.02</v>
      </c>
    </row>
    <row r="38" spans="1:12" ht="22.5" x14ac:dyDescent="0.2">
      <c r="A38" s="21">
        <v>145</v>
      </c>
      <c r="B38" s="22">
        <v>483</v>
      </c>
      <c r="C38" s="23" t="s">
        <v>111</v>
      </c>
      <c r="D38" s="24">
        <v>67394031</v>
      </c>
      <c r="E38" s="25" t="s">
        <v>112</v>
      </c>
      <c r="F38" s="26">
        <v>45838</v>
      </c>
      <c r="G38" s="25">
        <v>3073749</v>
      </c>
      <c r="H38" s="23" t="s">
        <v>58</v>
      </c>
      <c r="I38" s="25" t="s">
        <v>59</v>
      </c>
      <c r="J38" s="27">
        <v>97</v>
      </c>
      <c r="K38" s="27">
        <v>83.98</v>
      </c>
      <c r="L38" s="27">
        <v>13.02</v>
      </c>
    </row>
    <row r="39" spans="1:12" ht="22.5" x14ac:dyDescent="0.2">
      <c r="A39" s="21">
        <v>146</v>
      </c>
      <c r="B39" s="22">
        <v>483</v>
      </c>
      <c r="C39" s="23" t="s">
        <v>111</v>
      </c>
      <c r="D39" s="24">
        <v>67394031</v>
      </c>
      <c r="E39" s="25" t="s">
        <v>112</v>
      </c>
      <c r="F39" s="26">
        <v>45838</v>
      </c>
      <c r="G39" s="25">
        <v>3086303</v>
      </c>
      <c r="H39" s="23" t="s">
        <v>52</v>
      </c>
      <c r="I39" s="25" t="s">
        <v>53</v>
      </c>
      <c r="J39" s="27">
        <v>87</v>
      </c>
      <c r="K39" s="27">
        <v>80.989999999999995</v>
      </c>
      <c r="L39" s="27">
        <v>6.01</v>
      </c>
    </row>
    <row r="40" spans="1:12" ht="22.5" x14ac:dyDescent="0.2">
      <c r="A40" s="21">
        <v>147</v>
      </c>
      <c r="B40" s="22">
        <v>483</v>
      </c>
      <c r="C40" s="23" t="s">
        <v>111</v>
      </c>
      <c r="D40" s="24">
        <v>67394031</v>
      </c>
      <c r="E40" s="25" t="s">
        <v>112</v>
      </c>
      <c r="F40" s="26">
        <v>45838</v>
      </c>
      <c r="G40" s="25">
        <v>3086428</v>
      </c>
      <c r="H40" s="23" t="s">
        <v>54</v>
      </c>
      <c r="I40" s="25" t="s">
        <v>55</v>
      </c>
      <c r="J40" s="27">
        <v>82</v>
      </c>
      <c r="K40" s="27">
        <v>73.59</v>
      </c>
      <c r="L40" s="27">
        <v>8.41</v>
      </c>
    </row>
    <row r="41" spans="1:12" x14ac:dyDescent="0.2">
      <c r="B41" s="12"/>
      <c r="C41" s="28"/>
      <c r="D41" s="29"/>
      <c r="E41" s="12"/>
      <c r="F41" s="12"/>
      <c r="G41" s="12"/>
      <c r="H41" s="30"/>
      <c r="I41" s="30"/>
      <c r="J41" s="30"/>
      <c r="K41" s="11"/>
      <c r="L41" s="11"/>
    </row>
    <row r="42" spans="1:12" x14ac:dyDescent="0.2">
      <c r="B42" s="12"/>
      <c r="C42" s="28"/>
      <c r="D42" s="29"/>
      <c r="E42" s="15"/>
      <c r="F42" s="15"/>
      <c r="G42" s="15"/>
      <c r="H42" s="15"/>
      <c r="I42" s="30"/>
      <c r="J42" s="30"/>
      <c r="K42" s="11"/>
      <c r="L42" s="11"/>
    </row>
    <row r="43" spans="1:12" x14ac:dyDescent="0.2">
      <c r="B43" s="12"/>
      <c r="C43" s="28"/>
      <c r="D43" s="29"/>
      <c r="E43" s="12"/>
      <c r="F43" s="11"/>
      <c r="G43" s="11"/>
      <c r="H43" s="11"/>
      <c r="I43" s="30"/>
      <c r="J43" s="30"/>
      <c r="K43" s="11"/>
      <c r="L43" s="11"/>
    </row>
    <row r="44" spans="1:12" ht="13.5" thickBot="1" x14ac:dyDescent="0.25">
      <c r="B44" s="12"/>
      <c r="C44" s="28"/>
      <c r="D44" s="11" t="s">
        <v>62</v>
      </c>
      <c r="E44" s="31"/>
      <c r="F44" s="31"/>
      <c r="G44" s="31"/>
      <c r="H44" s="32"/>
      <c r="I44" s="11"/>
      <c r="J44" s="30"/>
      <c r="K44" s="11"/>
      <c r="L44" s="33">
        <v>174.03</v>
      </c>
    </row>
    <row r="45" spans="1:12" ht="13.5" thickTop="1" x14ac:dyDescent="0.2">
      <c r="B45" s="12"/>
      <c r="C45" s="28"/>
      <c r="D45" s="35"/>
      <c r="E45" s="31"/>
      <c r="F45" s="31"/>
      <c r="G45" s="31"/>
      <c r="H45" s="32"/>
      <c r="I45" s="11"/>
      <c r="J45" s="30"/>
      <c r="K45" s="11"/>
      <c r="L45" s="36"/>
    </row>
    <row r="49" spans="3:11" ht="59.65" customHeight="1" x14ac:dyDescent="0.25">
      <c r="C49"/>
      <c r="D49"/>
      <c r="E49"/>
      <c r="F49"/>
      <c r="G49"/>
      <c r="H49"/>
      <c r="I49"/>
      <c r="J49"/>
      <c r="K49"/>
    </row>
  </sheetData>
  <mergeCells count="4">
    <mergeCell ref="I14:J14"/>
    <mergeCell ref="B16:L16"/>
    <mergeCell ref="B17:L17"/>
    <mergeCell ref="J21:K21"/>
  </mergeCells>
  <dataValidations count="1">
    <dataValidation type="list" allowBlank="1" showInputMessage="1" showErrorMessage="1" sqref="C19:D19" xr:uid="{AF9EE6D2-3812-468A-B7AB-7E1FD9DFF45A}">
      <formula1>#REF!</formula1>
    </dataValidation>
  </dataValidations>
  <pageMargins left="0.25" right="0.25" top="0.5" bottom="0.5" header="0.3" footer="0.3"/>
  <pageSetup scale="94" fitToHeight="0" orientation="landscape" r:id="rId1"/>
  <headerFooter differentFirst="1">
    <oddFooter>&amp;L&amp;P</oddFooter>
    <firstFooter>&amp;L&amp;P&amp;C&amp;"Calibri,Bold"YOUR PROMPT PAYMENT WILL BE GREATLY APPRECIATED.
IF ANY OF THESE CLAIMS WERE BILLED IN ERROR, PLEASE EMAIL YVONNE AGUILAR  AT YVONNE.AGUILAR@BANNERHEALTH.COM, SO WE CAN BILL THE PATIENT IN A TIMELY MANNER.  THANK YOU.</first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A471C-01D0-49F8-BBD2-5C10A3213EB5}">
  <sheetPr>
    <tabColor rgb="FFFFFF00"/>
    <pageSetUpPr fitToPage="1"/>
  </sheetPr>
  <dimension ref="A1:L44"/>
  <sheetViews>
    <sheetView topLeftCell="B1" zoomScaleNormal="100" workbookViewId="0">
      <selection activeCell="G2" sqref="G2"/>
    </sheetView>
  </sheetViews>
  <sheetFormatPr defaultColWidth="8.85546875" defaultRowHeight="12.75" x14ac:dyDescent="0.2"/>
  <cols>
    <col min="1" max="1" width="14.42578125" style="2" hidden="1" customWidth="1"/>
    <col min="2" max="2" width="14.140625" style="2" customWidth="1"/>
    <col min="3" max="3" width="14.5703125" style="2" customWidth="1"/>
    <col min="4" max="4" width="14" style="2" customWidth="1"/>
    <col min="5" max="5" width="18.42578125" style="2" customWidth="1"/>
    <col min="6" max="7" width="11.42578125" style="2" customWidth="1"/>
    <col min="8" max="8" width="8.85546875" style="2"/>
    <col min="9" max="9" width="19.7109375" style="2" customWidth="1"/>
    <col min="10" max="10" width="9.28515625" style="2" bestFit="1" customWidth="1"/>
    <col min="11" max="11" width="11.140625" style="2" customWidth="1"/>
    <col min="12" max="12" width="9" style="2" customWidth="1"/>
    <col min="13" max="16384" width="8.85546875" style="2"/>
  </cols>
  <sheetData>
    <row r="1" spans="2:12" x14ac:dyDescent="0.2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x14ac:dyDescent="0.2">
      <c r="B2" s="1"/>
      <c r="C2" s="1"/>
      <c r="D2" s="1"/>
      <c r="E2" s="1"/>
      <c r="F2" s="1"/>
      <c r="G2" s="37" t="s">
        <v>311</v>
      </c>
      <c r="H2" s="1"/>
      <c r="I2" s="3" t="s">
        <v>0</v>
      </c>
      <c r="J2" s="4" t="s">
        <v>115</v>
      </c>
      <c r="K2" s="1"/>
      <c r="L2" s="1"/>
    </row>
    <row r="3" spans="2:12" x14ac:dyDescent="0.2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2:12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2:12" x14ac:dyDescent="0.2"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2:12" ht="4.9000000000000004" customHeight="1" x14ac:dyDescent="0.2"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2:12" x14ac:dyDescent="0.2">
      <c r="B7" s="3" t="s">
        <v>2</v>
      </c>
      <c r="C7" s="1"/>
      <c r="D7" s="1"/>
      <c r="E7" s="1"/>
      <c r="F7" s="1"/>
      <c r="G7" s="1"/>
      <c r="H7" s="1"/>
      <c r="I7" s="5" t="s">
        <v>3</v>
      </c>
      <c r="J7" s="1"/>
      <c r="K7" s="1"/>
      <c r="L7" s="1"/>
    </row>
    <row r="8" spans="2:12" x14ac:dyDescent="0.2">
      <c r="B8" s="3" t="s">
        <v>4</v>
      </c>
      <c r="C8" s="1"/>
      <c r="D8" s="1"/>
      <c r="E8" s="1"/>
      <c r="F8" s="1"/>
      <c r="G8" s="1"/>
      <c r="H8" s="1"/>
      <c r="I8" s="3" t="s">
        <v>5</v>
      </c>
      <c r="J8" s="1"/>
      <c r="K8" s="1"/>
      <c r="L8" s="1"/>
    </row>
    <row r="9" spans="2:12" x14ac:dyDescent="0.2">
      <c r="B9" s="3" t="s">
        <v>6</v>
      </c>
      <c r="C9" s="1"/>
      <c r="D9" s="1"/>
      <c r="E9" s="1"/>
      <c r="F9" s="1"/>
      <c r="G9" s="1"/>
      <c r="H9" s="1"/>
      <c r="I9" s="3" t="s">
        <v>7</v>
      </c>
      <c r="J9" s="1"/>
      <c r="K9" s="1"/>
      <c r="L9" s="1"/>
    </row>
    <row r="10" spans="2:12" x14ac:dyDescent="0.2">
      <c r="B10" s="3" t="s">
        <v>8</v>
      </c>
      <c r="C10" s="1"/>
      <c r="D10" s="1"/>
      <c r="E10" s="1"/>
      <c r="F10" s="1"/>
      <c r="G10" s="1"/>
      <c r="H10" s="1"/>
      <c r="I10" s="6" t="s">
        <v>9</v>
      </c>
      <c r="J10" s="1"/>
      <c r="K10" s="1"/>
      <c r="L10" s="1"/>
    </row>
    <row r="11" spans="2:12" x14ac:dyDescent="0.2">
      <c r="B11" s="3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2:12" x14ac:dyDescent="0.2">
      <c r="B12" s="3" t="s">
        <v>11</v>
      </c>
      <c r="C12" s="1"/>
      <c r="D12" s="1"/>
      <c r="E12" s="1"/>
      <c r="F12" s="1"/>
      <c r="G12" s="1"/>
      <c r="H12" s="1"/>
      <c r="I12" s="6" t="s">
        <v>12</v>
      </c>
      <c r="J12" s="6" t="s">
        <v>13</v>
      </c>
      <c r="K12" s="6"/>
      <c r="L12" s="1"/>
    </row>
    <row r="13" spans="2:12" ht="4.1500000000000004" customHeight="1" thickBot="1" x14ac:dyDescent="0.25">
      <c r="B13" s="3"/>
      <c r="C13" s="1"/>
      <c r="D13" s="1"/>
      <c r="E13" s="1"/>
      <c r="F13" s="6"/>
      <c r="G13" s="6"/>
      <c r="H13" s="6"/>
      <c r="I13" s="1"/>
      <c r="J13" s="1"/>
      <c r="K13" s="1"/>
      <c r="L13" s="1"/>
    </row>
    <row r="14" spans="2:12" ht="13.5" thickBot="1" x14ac:dyDescent="0.25">
      <c r="B14" s="7"/>
      <c r="C14" s="1"/>
      <c r="D14" s="1"/>
      <c r="E14" s="1"/>
      <c r="F14" s="1"/>
      <c r="G14" s="1"/>
      <c r="H14" s="1"/>
      <c r="I14" s="44" t="s">
        <v>14</v>
      </c>
      <c r="J14" s="45"/>
      <c r="K14" s="8" t="s">
        <v>15</v>
      </c>
      <c r="L14" s="9"/>
    </row>
    <row r="15" spans="2:12" ht="6" customHeight="1" thickBot="1" x14ac:dyDescent="0.25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2:12" ht="19.7" customHeight="1" thickTop="1" x14ac:dyDescent="0.2">
      <c r="B16" s="46" t="s">
        <v>16</v>
      </c>
      <c r="C16" s="46"/>
      <c r="D16" s="46"/>
      <c r="E16" s="46"/>
      <c r="F16" s="46"/>
      <c r="G16" s="46"/>
      <c r="H16" s="46"/>
      <c r="I16" s="46"/>
      <c r="J16" s="46"/>
      <c r="K16" s="46"/>
      <c r="L16" s="46"/>
    </row>
    <row r="17" spans="1:12" ht="15.6" customHeight="1" x14ac:dyDescent="0.2">
      <c r="B17" s="47">
        <v>45838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</row>
    <row r="18" spans="1:12" x14ac:dyDescent="0.2">
      <c r="B18" s="11" t="s">
        <v>17</v>
      </c>
      <c r="C18" s="11"/>
      <c r="D18" s="11"/>
      <c r="E18" s="12"/>
      <c r="F18" s="11"/>
      <c r="G18" s="11"/>
      <c r="H18" s="11"/>
      <c r="I18" s="1"/>
      <c r="J18" s="11"/>
      <c r="K18" s="11"/>
      <c r="L18" s="11"/>
    </row>
    <row r="19" spans="1:12" x14ac:dyDescent="0.2">
      <c r="A19" s="2" t="s">
        <v>18</v>
      </c>
      <c r="B19" s="11" t="s">
        <v>19</v>
      </c>
      <c r="C19" s="14" t="s">
        <v>116</v>
      </c>
      <c r="D19" s="11"/>
      <c r="E19" s="12"/>
      <c r="F19" s="1"/>
      <c r="G19" s="1"/>
      <c r="H19" s="1"/>
      <c r="I19" s="1"/>
      <c r="J19" s="1"/>
      <c r="K19" s="1"/>
      <c r="L19" s="11"/>
    </row>
    <row r="20" spans="1:12" ht="13.5" thickBot="1" x14ac:dyDescent="0.25">
      <c r="A20" s="2">
        <v>7</v>
      </c>
      <c r="B20" s="11" t="s">
        <v>21</v>
      </c>
      <c r="C20" s="14">
        <v>1723</v>
      </c>
      <c r="D20" s="11"/>
      <c r="E20" s="12"/>
      <c r="F20" s="15"/>
      <c r="G20" s="15"/>
      <c r="H20" s="16"/>
      <c r="I20" s="16"/>
      <c r="J20" s="11"/>
      <c r="K20" s="11"/>
      <c r="L20" s="11"/>
    </row>
    <row r="21" spans="1:12" ht="13.9" customHeight="1" thickBot="1" x14ac:dyDescent="0.25">
      <c r="A21" s="2" t="s">
        <v>22</v>
      </c>
      <c r="B21" s="11" t="s">
        <v>23</v>
      </c>
      <c r="C21" s="14">
        <v>4268750</v>
      </c>
      <c r="E21" s="12"/>
      <c r="F21" s="15"/>
      <c r="G21" s="15"/>
      <c r="H21" s="16"/>
      <c r="I21" s="17" t="s">
        <v>24</v>
      </c>
      <c r="J21" s="52" t="s">
        <v>25</v>
      </c>
      <c r="K21" s="49"/>
      <c r="L21" s="11"/>
    </row>
    <row r="22" spans="1:12" x14ac:dyDescent="0.2">
      <c r="A22" s="2">
        <v>0</v>
      </c>
      <c r="B22" s="11" t="s">
        <v>26</v>
      </c>
      <c r="C22" s="14" t="s">
        <v>27</v>
      </c>
      <c r="D22" s="11"/>
      <c r="E22" s="12"/>
      <c r="F22" s="12"/>
      <c r="G22" s="12"/>
      <c r="H22" s="11"/>
      <c r="I22" s="11"/>
      <c r="J22" s="11"/>
      <c r="K22" s="11"/>
      <c r="L22" s="11"/>
    </row>
    <row r="23" spans="1:12" ht="4.1500000000000004" customHeight="1" x14ac:dyDescent="0.2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</row>
    <row r="24" spans="1:12" s="20" customFormat="1" ht="22.5" x14ac:dyDescent="0.2">
      <c r="A24" s="18" t="s">
        <v>28</v>
      </c>
      <c r="B24" s="19" t="s">
        <v>29</v>
      </c>
      <c r="C24" s="19" t="s">
        <v>30</v>
      </c>
      <c r="D24" s="19" t="s">
        <v>31</v>
      </c>
      <c r="E24" s="19" t="s">
        <v>32</v>
      </c>
      <c r="F24" s="19" t="s">
        <v>33</v>
      </c>
      <c r="G24" s="19" t="s">
        <v>34</v>
      </c>
      <c r="H24" s="19" t="s">
        <v>35</v>
      </c>
      <c r="I24" s="19" t="s">
        <v>36</v>
      </c>
      <c r="J24" s="19" t="s">
        <v>37</v>
      </c>
      <c r="K24" s="19" t="s">
        <v>38</v>
      </c>
      <c r="L24" s="19" t="s">
        <v>39</v>
      </c>
    </row>
    <row r="25" spans="1:12" x14ac:dyDescent="0.2">
      <c r="A25" s="21">
        <v>148</v>
      </c>
      <c r="B25" s="22">
        <v>483</v>
      </c>
      <c r="C25" s="23" t="s">
        <v>117</v>
      </c>
      <c r="D25" s="24">
        <v>67660506</v>
      </c>
      <c r="E25" s="25" t="s">
        <v>118</v>
      </c>
      <c r="F25" s="26">
        <v>45785</v>
      </c>
      <c r="G25" s="25">
        <v>3086055</v>
      </c>
      <c r="H25" s="23" t="s">
        <v>119</v>
      </c>
      <c r="I25" s="25" t="s">
        <v>120</v>
      </c>
      <c r="J25" s="27">
        <v>232</v>
      </c>
      <c r="K25" s="27">
        <v>217.75</v>
      </c>
      <c r="L25" s="27">
        <v>14.25</v>
      </c>
    </row>
    <row r="26" spans="1:12" ht="22.5" x14ac:dyDescent="0.2">
      <c r="A26" s="21">
        <v>149</v>
      </c>
      <c r="B26" s="22">
        <v>483</v>
      </c>
      <c r="C26" s="23" t="s">
        <v>117</v>
      </c>
      <c r="D26" s="24">
        <v>67660506</v>
      </c>
      <c r="E26" s="25" t="s">
        <v>118</v>
      </c>
      <c r="F26" s="26">
        <v>45785</v>
      </c>
      <c r="G26" s="25">
        <v>3088119</v>
      </c>
      <c r="H26" s="23" t="s">
        <v>107</v>
      </c>
      <c r="I26" s="25" t="s">
        <v>108</v>
      </c>
      <c r="J26" s="27">
        <v>62</v>
      </c>
      <c r="K26" s="27">
        <v>57.56</v>
      </c>
      <c r="L26" s="27">
        <v>4.4400000000000004</v>
      </c>
    </row>
    <row r="27" spans="1:12" ht="22.5" x14ac:dyDescent="0.2">
      <c r="A27" s="21">
        <v>150</v>
      </c>
      <c r="B27" s="22">
        <v>483</v>
      </c>
      <c r="C27" s="23" t="s">
        <v>117</v>
      </c>
      <c r="D27" s="24">
        <v>67660506</v>
      </c>
      <c r="E27" s="25" t="s">
        <v>118</v>
      </c>
      <c r="F27" s="26">
        <v>45785</v>
      </c>
      <c r="G27" s="25">
        <v>7301021</v>
      </c>
      <c r="H27" s="23" t="s">
        <v>56</v>
      </c>
      <c r="I27" s="25" t="s">
        <v>57</v>
      </c>
      <c r="J27" s="27">
        <v>189</v>
      </c>
      <c r="K27" s="27">
        <v>124.97</v>
      </c>
      <c r="L27" s="27">
        <v>64.03</v>
      </c>
    </row>
    <row r="28" spans="1:12" ht="22.5" x14ac:dyDescent="0.2">
      <c r="A28" s="21">
        <v>151</v>
      </c>
      <c r="B28" s="22">
        <v>483</v>
      </c>
      <c r="C28" s="23" t="s">
        <v>117</v>
      </c>
      <c r="D28" s="24">
        <v>67660506</v>
      </c>
      <c r="E28" s="25" t="s">
        <v>118</v>
      </c>
      <c r="F28" s="26">
        <v>45799</v>
      </c>
      <c r="G28" s="25">
        <v>7301021</v>
      </c>
      <c r="H28" s="23" t="s">
        <v>56</v>
      </c>
      <c r="I28" s="25" t="s">
        <v>57</v>
      </c>
      <c r="J28" s="27">
        <v>189</v>
      </c>
      <c r="K28" s="27">
        <v>124.97</v>
      </c>
      <c r="L28" s="27">
        <v>64.03</v>
      </c>
    </row>
    <row r="29" spans="1:12" ht="22.5" x14ac:dyDescent="0.2">
      <c r="A29" s="21">
        <v>152</v>
      </c>
      <c r="B29" s="22">
        <v>483</v>
      </c>
      <c r="C29" s="23" t="s">
        <v>117</v>
      </c>
      <c r="D29" s="24">
        <v>67660506</v>
      </c>
      <c r="E29" s="25" t="s">
        <v>118</v>
      </c>
      <c r="F29" s="26">
        <v>45806</v>
      </c>
      <c r="G29" s="25">
        <v>7301021</v>
      </c>
      <c r="H29" s="23" t="s">
        <v>56</v>
      </c>
      <c r="I29" s="25" t="s">
        <v>57</v>
      </c>
      <c r="J29" s="27">
        <v>189</v>
      </c>
      <c r="K29" s="27">
        <v>124.97</v>
      </c>
      <c r="L29" s="27">
        <v>64.03</v>
      </c>
    </row>
    <row r="30" spans="1:12" ht="22.5" x14ac:dyDescent="0.2">
      <c r="A30" s="21">
        <v>153</v>
      </c>
      <c r="B30" s="22">
        <v>483</v>
      </c>
      <c r="C30" s="23" t="s">
        <v>117</v>
      </c>
      <c r="D30" s="24">
        <v>67660506</v>
      </c>
      <c r="E30" s="25" t="s">
        <v>118</v>
      </c>
      <c r="F30" s="26">
        <v>45813</v>
      </c>
      <c r="G30" s="25">
        <v>7301021</v>
      </c>
      <c r="H30" s="23" t="s">
        <v>56</v>
      </c>
      <c r="I30" s="25" t="s">
        <v>57</v>
      </c>
      <c r="J30" s="27">
        <v>189</v>
      </c>
      <c r="K30" s="27">
        <v>124.97</v>
      </c>
      <c r="L30" s="27">
        <v>64.03</v>
      </c>
    </row>
    <row r="31" spans="1:12" ht="22.5" x14ac:dyDescent="0.2">
      <c r="A31" s="21">
        <v>154</v>
      </c>
      <c r="B31" s="22">
        <v>483</v>
      </c>
      <c r="C31" s="23" t="s">
        <v>117</v>
      </c>
      <c r="D31" s="24">
        <v>67914499</v>
      </c>
      <c r="E31" s="25" t="s">
        <v>118</v>
      </c>
      <c r="F31" s="26">
        <v>45828</v>
      </c>
      <c r="G31" s="25">
        <v>7301021</v>
      </c>
      <c r="H31" s="23" t="s">
        <v>56</v>
      </c>
      <c r="I31" s="25" t="s">
        <v>57</v>
      </c>
      <c r="J31" s="27">
        <v>189</v>
      </c>
      <c r="K31" s="27">
        <v>124.97</v>
      </c>
      <c r="L31" s="27">
        <v>64.03</v>
      </c>
    </row>
    <row r="32" spans="1:12" ht="13.5" customHeight="1" x14ac:dyDescent="0.2">
      <c r="B32" s="12"/>
      <c r="C32" s="28"/>
      <c r="D32" s="29"/>
      <c r="E32" s="12"/>
      <c r="F32" s="12"/>
      <c r="G32" s="12"/>
      <c r="H32" s="30"/>
      <c r="I32" s="30"/>
      <c r="J32" s="30"/>
      <c r="K32" s="11"/>
      <c r="L32" s="11"/>
    </row>
    <row r="33" spans="2:12" ht="13.5" customHeight="1" x14ac:dyDescent="0.2">
      <c r="B33" s="12"/>
      <c r="C33" s="28"/>
      <c r="D33" s="29"/>
      <c r="E33" s="15"/>
      <c r="F33" s="15"/>
      <c r="G33" s="15"/>
      <c r="H33" s="15"/>
      <c r="I33" s="30"/>
      <c r="J33" s="30"/>
      <c r="K33" s="11"/>
      <c r="L33" s="11"/>
    </row>
    <row r="34" spans="2:12" ht="13.5" customHeight="1" x14ac:dyDescent="0.2">
      <c r="B34" s="12"/>
      <c r="C34" s="28"/>
      <c r="D34" s="29"/>
      <c r="E34" s="12"/>
      <c r="F34" s="11"/>
      <c r="G34" s="11"/>
      <c r="H34" s="11"/>
      <c r="I34" s="30"/>
      <c r="J34" s="30"/>
      <c r="K34" s="11"/>
      <c r="L34" s="11"/>
    </row>
    <row r="35" spans="2:12" ht="13.5" customHeight="1" thickBot="1" x14ac:dyDescent="0.25">
      <c r="B35" s="12"/>
      <c r="C35" s="28"/>
      <c r="D35" s="11" t="s">
        <v>62</v>
      </c>
      <c r="E35" s="31"/>
      <c r="F35" s="31"/>
      <c r="G35" s="31"/>
      <c r="H35" s="32"/>
      <c r="I35" s="11"/>
      <c r="J35" s="30"/>
      <c r="K35" s="11"/>
      <c r="L35" s="33">
        <v>338.84000000000003</v>
      </c>
    </row>
    <row r="36" spans="2:12" ht="13.5" customHeight="1" thickTop="1" x14ac:dyDescent="0.2">
      <c r="B36" s="12"/>
      <c r="C36" s="28"/>
      <c r="D36" s="35"/>
      <c r="E36" s="31"/>
      <c r="F36" s="31"/>
      <c r="G36" s="31"/>
      <c r="H36" s="32"/>
      <c r="I36" s="11"/>
      <c r="J36" s="30"/>
      <c r="K36" s="11"/>
      <c r="L36" s="36"/>
    </row>
    <row r="37" spans="2:12" ht="13.5" customHeight="1" x14ac:dyDescent="0.2"/>
    <row r="38" spans="2:12" ht="13.5" customHeight="1" x14ac:dyDescent="0.2"/>
    <row r="39" spans="2:12" ht="13.5" customHeight="1" x14ac:dyDescent="0.2"/>
    <row r="40" spans="2:12" ht="13.5" customHeight="1" x14ac:dyDescent="0.25">
      <c r="C40"/>
      <c r="D40"/>
      <c r="E40"/>
      <c r="F40"/>
      <c r="G40"/>
      <c r="H40"/>
      <c r="I40"/>
      <c r="J40"/>
      <c r="K40"/>
    </row>
    <row r="41" spans="2:12" ht="13.5" customHeight="1" x14ac:dyDescent="0.2"/>
    <row r="42" spans="2:12" ht="13.5" customHeight="1" x14ac:dyDescent="0.2"/>
    <row r="43" spans="2:12" ht="13.5" customHeight="1" x14ac:dyDescent="0.2"/>
    <row r="44" spans="2:12" ht="13.5" customHeight="1" x14ac:dyDescent="0.2"/>
  </sheetData>
  <mergeCells count="4">
    <mergeCell ref="I14:J14"/>
    <mergeCell ref="B16:L16"/>
    <mergeCell ref="B17:L17"/>
    <mergeCell ref="J21:K21"/>
  </mergeCells>
  <dataValidations count="1">
    <dataValidation type="list" allowBlank="1" showInputMessage="1" showErrorMessage="1" sqref="C19:D19" xr:uid="{0B5C61E6-7315-46AB-A354-B4F345AA881F}">
      <formula1>#REF!</formula1>
    </dataValidation>
  </dataValidations>
  <pageMargins left="0.25" right="0.25" top="0.5" bottom="0.5" header="0.3" footer="0.3"/>
  <pageSetup scale="95" fitToHeight="0" orientation="landscape" r:id="rId1"/>
  <headerFooter differentFirst="1">
    <oddFooter>&amp;L&amp;P</oddFooter>
    <firstFooter>&amp;L&amp;P&amp;C&amp;"Calibri,Bold"YOUR PROMPT PAYMENT WILL BE GREATLY APPRECIATED.
IF ANY OF THESE CLAIMS WERE BILLED IN ERROR, PLEASE EMAIL YVONNE AGUILAR  AT YVONNE.AGUILAR@BANNERHEALTH.COM, SO WE CAN BILL THE PATIENT IN A TIMELY MANNER.  THANK YOU.</first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D1529-32EE-4A4F-9DC7-6A4BD1B92B05}">
  <sheetPr>
    <tabColor theme="0"/>
    <pageSetUpPr fitToPage="1"/>
  </sheetPr>
  <dimension ref="A1:O65"/>
  <sheetViews>
    <sheetView topLeftCell="B1" zoomScaleNormal="100" workbookViewId="0">
      <selection activeCell="J30" sqref="J30"/>
    </sheetView>
  </sheetViews>
  <sheetFormatPr defaultColWidth="8.85546875" defaultRowHeight="12.75" x14ac:dyDescent="0.2"/>
  <cols>
    <col min="1" max="1" width="8.85546875" style="2" hidden="1" customWidth="1"/>
    <col min="2" max="2" width="13.28515625" style="2" customWidth="1"/>
    <col min="3" max="3" width="14.5703125" style="2" customWidth="1"/>
    <col min="4" max="4" width="14" style="2" customWidth="1"/>
    <col min="5" max="5" width="18.42578125" style="2" customWidth="1"/>
    <col min="6" max="6" width="15.140625" style="2" customWidth="1"/>
    <col min="7" max="7" width="11.42578125" style="2" customWidth="1"/>
    <col min="8" max="8" width="8.85546875" style="2"/>
    <col min="9" max="9" width="19.7109375" style="2" customWidth="1"/>
    <col min="10" max="10" width="10.28515625" style="2" customWidth="1"/>
    <col min="11" max="11" width="11.85546875" style="2" customWidth="1"/>
    <col min="12" max="12" width="9.5703125" style="2" customWidth="1"/>
    <col min="13" max="13" width="16" style="2" customWidth="1"/>
    <col min="14" max="16384" width="8.85546875" style="2"/>
  </cols>
  <sheetData>
    <row r="1" spans="2:12" x14ac:dyDescent="0.2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x14ac:dyDescent="0.2">
      <c r="B2" s="1"/>
      <c r="C2" s="1"/>
      <c r="D2" s="1"/>
      <c r="E2" s="1"/>
      <c r="F2" s="1"/>
      <c r="G2" s="37" t="s">
        <v>311</v>
      </c>
      <c r="H2" s="1"/>
      <c r="I2" s="3" t="s">
        <v>0</v>
      </c>
      <c r="J2" s="4" t="s">
        <v>121</v>
      </c>
      <c r="K2" s="1"/>
      <c r="L2" s="1"/>
    </row>
    <row r="3" spans="2:12" x14ac:dyDescent="0.2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2:12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2:12" x14ac:dyDescent="0.2"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2:12" ht="4.9000000000000004" customHeight="1" x14ac:dyDescent="0.2"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2:12" x14ac:dyDescent="0.2">
      <c r="B7" s="3" t="s">
        <v>2</v>
      </c>
      <c r="C7" s="1"/>
      <c r="D7" s="1"/>
      <c r="E7" s="1"/>
      <c r="F7" s="1"/>
      <c r="G7" s="1"/>
      <c r="H7" s="1"/>
      <c r="I7" s="5" t="s">
        <v>3</v>
      </c>
      <c r="J7" s="1"/>
      <c r="K7" s="1"/>
      <c r="L7" s="1"/>
    </row>
    <row r="8" spans="2:12" x14ac:dyDescent="0.2">
      <c r="B8" s="3" t="s">
        <v>4</v>
      </c>
      <c r="C8" s="1"/>
      <c r="D8" s="1"/>
      <c r="E8" s="1"/>
      <c r="F8" s="1"/>
      <c r="G8" s="1"/>
      <c r="H8" s="1"/>
      <c r="I8" s="3" t="s">
        <v>5</v>
      </c>
      <c r="J8" s="1"/>
      <c r="K8" s="1"/>
      <c r="L8" s="1"/>
    </row>
    <row r="9" spans="2:12" x14ac:dyDescent="0.2">
      <c r="B9" s="3" t="s">
        <v>6</v>
      </c>
      <c r="C9" s="1"/>
      <c r="D9" s="1"/>
      <c r="E9" s="1"/>
      <c r="F9" s="1"/>
      <c r="G9" s="1"/>
      <c r="H9" s="1"/>
      <c r="I9" s="3" t="s">
        <v>7</v>
      </c>
      <c r="J9" s="1"/>
      <c r="K9" s="1"/>
      <c r="L9" s="1"/>
    </row>
    <row r="10" spans="2:12" x14ac:dyDescent="0.2">
      <c r="B10" s="3" t="s">
        <v>8</v>
      </c>
      <c r="C10" s="1"/>
      <c r="D10" s="1"/>
      <c r="E10" s="1"/>
      <c r="F10" s="1"/>
      <c r="G10" s="1"/>
      <c r="H10" s="1"/>
      <c r="I10" s="6" t="s">
        <v>9</v>
      </c>
      <c r="J10" s="1"/>
      <c r="K10" s="1"/>
      <c r="L10" s="1"/>
    </row>
    <row r="11" spans="2:12" x14ac:dyDescent="0.2">
      <c r="B11" s="3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2:12" x14ac:dyDescent="0.2">
      <c r="B12" s="3" t="s">
        <v>11</v>
      </c>
      <c r="C12" s="1"/>
      <c r="D12" s="1"/>
      <c r="E12" s="1"/>
      <c r="F12" s="1"/>
      <c r="G12" s="1"/>
      <c r="H12" s="1"/>
      <c r="I12" s="6" t="s">
        <v>12</v>
      </c>
      <c r="J12" s="6" t="s">
        <v>13</v>
      </c>
      <c r="K12" s="6"/>
      <c r="L12" s="1"/>
    </row>
    <row r="13" spans="2:12" ht="4.1500000000000004" customHeight="1" thickBot="1" x14ac:dyDescent="0.25">
      <c r="B13" s="3"/>
      <c r="C13" s="1"/>
      <c r="D13" s="1"/>
      <c r="E13" s="1"/>
      <c r="F13" s="6"/>
      <c r="G13" s="6"/>
      <c r="H13" s="6"/>
      <c r="I13" s="1"/>
      <c r="J13" s="1"/>
      <c r="K13" s="1"/>
      <c r="L13" s="1"/>
    </row>
    <row r="14" spans="2:12" ht="13.5" thickBot="1" x14ac:dyDescent="0.25">
      <c r="B14" s="7"/>
      <c r="C14" s="1"/>
      <c r="D14" s="1"/>
      <c r="E14" s="1"/>
      <c r="F14" s="1"/>
      <c r="G14" s="1"/>
      <c r="H14" s="1"/>
      <c r="I14" s="44" t="s">
        <v>14</v>
      </c>
      <c r="J14" s="45"/>
      <c r="K14" s="8" t="s">
        <v>15</v>
      </c>
      <c r="L14" s="9"/>
    </row>
    <row r="15" spans="2:12" ht="6" customHeight="1" thickBot="1" x14ac:dyDescent="0.25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2:12" ht="19.7" customHeight="1" thickTop="1" x14ac:dyDescent="0.2">
      <c r="B16" s="46" t="s">
        <v>16</v>
      </c>
      <c r="C16" s="46"/>
      <c r="D16" s="46"/>
      <c r="E16" s="46"/>
      <c r="F16" s="46"/>
      <c r="G16" s="46"/>
      <c r="H16" s="46"/>
      <c r="I16" s="46"/>
      <c r="J16" s="46"/>
      <c r="K16" s="46"/>
      <c r="L16" s="46"/>
    </row>
    <row r="17" spans="1:15" ht="15.6" customHeight="1" x14ac:dyDescent="0.2">
      <c r="B17" s="47">
        <v>45838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</row>
    <row r="18" spans="1:15" x14ac:dyDescent="0.2">
      <c r="B18" s="11" t="s">
        <v>314</v>
      </c>
      <c r="C18" s="11" t="s">
        <v>315</v>
      </c>
      <c r="D18" s="11"/>
      <c r="E18" s="12"/>
      <c r="F18" s="12"/>
      <c r="G18" s="11"/>
      <c r="H18" s="11"/>
      <c r="I18" s="1"/>
      <c r="J18" s="11"/>
      <c r="K18" s="11"/>
      <c r="L18" s="11"/>
    </row>
    <row r="19" spans="1:15" x14ac:dyDescent="0.2">
      <c r="A19" s="2" t="s">
        <v>18</v>
      </c>
      <c r="B19" s="11" t="s">
        <v>19</v>
      </c>
      <c r="C19" s="14" t="s">
        <v>122</v>
      </c>
      <c r="D19" s="11"/>
      <c r="E19" s="12"/>
      <c r="F19" s="12"/>
      <c r="G19" s="1"/>
      <c r="H19" s="1"/>
      <c r="I19" s="1"/>
      <c r="J19" s="1"/>
      <c r="K19" s="1"/>
      <c r="L19" s="11"/>
    </row>
    <row r="20" spans="1:15" ht="13.5" thickBot="1" x14ac:dyDescent="0.25">
      <c r="A20" s="2">
        <v>32</v>
      </c>
      <c r="B20" s="11" t="s">
        <v>21</v>
      </c>
      <c r="C20" s="14">
        <v>4723</v>
      </c>
      <c r="D20" s="11"/>
      <c r="E20" s="12"/>
      <c r="F20" s="12"/>
      <c r="G20" s="15"/>
      <c r="H20" s="16"/>
      <c r="I20" s="41" t="s">
        <v>325</v>
      </c>
      <c r="J20" s="11"/>
      <c r="K20" s="11"/>
      <c r="L20" s="11"/>
    </row>
    <row r="21" spans="1:15" ht="13.9" customHeight="1" thickBot="1" x14ac:dyDescent="0.25">
      <c r="A21" s="2" t="s">
        <v>22</v>
      </c>
      <c r="B21" s="11" t="s">
        <v>23</v>
      </c>
      <c r="C21" s="14">
        <v>4274840</v>
      </c>
      <c r="E21" s="12"/>
      <c r="F21" s="12"/>
      <c r="G21" s="15"/>
      <c r="H21" s="16"/>
      <c r="I21" s="17" t="s">
        <v>24</v>
      </c>
      <c r="J21" s="48">
        <f>L60</f>
        <v>2519.1600000000008</v>
      </c>
      <c r="K21" s="49"/>
      <c r="L21" s="11"/>
    </row>
    <row r="22" spans="1:15" x14ac:dyDescent="0.2">
      <c r="A22" s="2">
        <v>0</v>
      </c>
      <c r="B22" s="11" t="s">
        <v>26</v>
      </c>
      <c r="C22" s="14" t="s">
        <v>27</v>
      </c>
      <c r="D22" s="11"/>
      <c r="E22" s="12"/>
      <c r="F22" s="12"/>
      <c r="G22" s="12"/>
      <c r="H22" s="11"/>
      <c r="I22" s="11"/>
      <c r="J22" s="11"/>
      <c r="K22" s="11"/>
      <c r="L22" s="11"/>
    </row>
    <row r="23" spans="1:15" ht="4.1500000000000004" customHeight="1" x14ac:dyDescent="0.2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</row>
    <row r="24" spans="1:15" s="20" customFormat="1" ht="22.5" x14ac:dyDescent="0.2">
      <c r="A24" s="18" t="s">
        <v>28</v>
      </c>
      <c r="B24" s="19" t="s">
        <v>29</v>
      </c>
      <c r="C24" s="19" t="s">
        <v>30</v>
      </c>
      <c r="D24" s="19" t="s">
        <v>31</v>
      </c>
      <c r="E24" s="19" t="s">
        <v>32</v>
      </c>
      <c r="F24" s="19" t="s">
        <v>33</v>
      </c>
      <c r="G24" s="19" t="s">
        <v>34</v>
      </c>
      <c r="H24" s="19" t="s">
        <v>35</v>
      </c>
      <c r="I24" s="19" t="s">
        <v>36</v>
      </c>
      <c r="J24" s="19" t="s">
        <v>37</v>
      </c>
      <c r="K24" s="19" t="s">
        <v>38</v>
      </c>
      <c r="L24" s="19" t="s">
        <v>39</v>
      </c>
      <c r="M24" s="20" t="s">
        <v>316</v>
      </c>
    </row>
    <row r="25" spans="1:15" ht="22.5" x14ac:dyDescent="0.2">
      <c r="A25" s="21">
        <v>646</v>
      </c>
      <c r="B25" s="22">
        <v>483</v>
      </c>
      <c r="C25" s="23" t="s">
        <v>123</v>
      </c>
      <c r="D25" s="24">
        <v>67584300</v>
      </c>
      <c r="E25" s="25" t="s">
        <v>124</v>
      </c>
      <c r="F25" s="26">
        <v>45761</v>
      </c>
      <c r="G25" s="25">
        <v>3073061</v>
      </c>
      <c r="H25" s="23" t="s">
        <v>42</v>
      </c>
      <c r="I25" s="25" t="s">
        <v>43</v>
      </c>
      <c r="J25" s="27">
        <v>66</v>
      </c>
      <c r="K25" s="27">
        <v>55.92</v>
      </c>
      <c r="L25" s="27">
        <v>10.08</v>
      </c>
      <c r="M25" s="2" t="s">
        <v>309</v>
      </c>
      <c r="N25" s="34"/>
      <c r="O25" s="34"/>
    </row>
    <row r="26" spans="1:15" x14ac:dyDescent="0.2">
      <c r="A26" s="21">
        <v>647</v>
      </c>
      <c r="B26" s="22">
        <v>483</v>
      </c>
      <c r="C26" s="23" t="s">
        <v>123</v>
      </c>
      <c r="D26" s="24">
        <v>67584300</v>
      </c>
      <c r="E26" s="25" t="s">
        <v>124</v>
      </c>
      <c r="F26" s="26">
        <v>45761</v>
      </c>
      <c r="G26" s="25">
        <v>3074085</v>
      </c>
      <c r="H26" s="23" t="s">
        <v>91</v>
      </c>
      <c r="I26" s="25" t="s">
        <v>92</v>
      </c>
      <c r="J26" s="27">
        <v>55</v>
      </c>
      <c r="K26" s="27">
        <v>46.54</v>
      </c>
      <c r="L26" s="27">
        <v>8.4600000000000009</v>
      </c>
      <c r="M26" s="2" t="s">
        <v>309</v>
      </c>
      <c r="N26" s="34"/>
      <c r="O26" s="34"/>
    </row>
    <row r="27" spans="1:15" x14ac:dyDescent="0.2">
      <c r="A27" s="21">
        <v>648</v>
      </c>
      <c r="B27" s="22">
        <v>483</v>
      </c>
      <c r="C27" s="23" t="s">
        <v>123</v>
      </c>
      <c r="D27" s="24">
        <v>67584300</v>
      </c>
      <c r="E27" s="25" t="s">
        <v>124</v>
      </c>
      <c r="F27" s="26">
        <v>45761</v>
      </c>
      <c r="G27" s="25">
        <v>3074192</v>
      </c>
      <c r="H27" s="23" t="s">
        <v>125</v>
      </c>
      <c r="I27" s="25" t="s">
        <v>126</v>
      </c>
      <c r="J27" s="27">
        <v>202</v>
      </c>
      <c r="K27" s="27">
        <v>183.25</v>
      </c>
      <c r="L27" s="27">
        <v>18.75</v>
      </c>
      <c r="M27" s="2" t="s">
        <v>309</v>
      </c>
      <c r="N27" s="34"/>
      <c r="O27" s="34"/>
    </row>
    <row r="28" spans="1:15" ht="22.5" x14ac:dyDescent="0.2">
      <c r="A28" s="21">
        <v>649</v>
      </c>
      <c r="B28" s="22">
        <v>483</v>
      </c>
      <c r="C28" s="23" t="s">
        <v>123</v>
      </c>
      <c r="D28" s="24">
        <v>67584300</v>
      </c>
      <c r="E28" s="25" t="s">
        <v>124</v>
      </c>
      <c r="F28" s="26">
        <v>45761</v>
      </c>
      <c r="G28" s="25">
        <v>3088119</v>
      </c>
      <c r="H28" s="23" t="s">
        <v>107</v>
      </c>
      <c r="I28" s="25" t="s">
        <v>108</v>
      </c>
      <c r="J28" s="27">
        <v>62</v>
      </c>
      <c r="K28" s="27">
        <v>57.56</v>
      </c>
      <c r="L28" s="27">
        <v>4.4400000000000004</v>
      </c>
      <c r="M28" s="2" t="s">
        <v>309</v>
      </c>
      <c r="N28" s="34"/>
      <c r="O28" s="34"/>
    </row>
    <row r="29" spans="1:15" ht="22.5" x14ac:dyDescent="0.2">
      <c r="A29" s="21">
        <v>650</v>
      </c>
      <c r="B29" s="22">
        <v>483</v>
      </c>
      <c r="C29" s="23" t="s">
        <v>123</v>
      </c>
      <c r="D29" s="24">
        <v>67584300</v>
      </c>
      <c r="E29" s="25" t="s">
        <v>124</v>
      </c>
      <c r="F29" s="26">
        <v>45761</v>
      </c>
      <c r="G29" s="25">
        <v>7301021</v>
      </c>
      <c r="H29" s="23" t="s">
        <v>56</v>
      </c>
      <c r="I29" s="25" t="s">
        <v>57</v>
      </c>
      <c r="J29" s="27">
        <v>189</v>
      </c>
      <c r="K29" s="27">
        <v>124.97</v>
      </c>
      <c r="L29" s="27">
        <v>64.03</v>
      </c>
      <c r="M29" s="2" t="s">
        <v>309</v>
      </c>
      <c r="N29" s="34"/>
      <c r="O29" s="34"/>
    </row>
    <row r="30" spans="1:15" ht="22.5" x14ac:dyDescent="0.2">
      <c r="A30" s="21">
        <v>651</v>
      </c>
      <c r="B30" s="22">
        <v>483</v>
      </c>
      <c r="C30" s="23" t="s">
        <v>123</v>
      </c>
      <c r="D30" s="24">
        <v>67584300</v>
      </c>
      <c r="E30" s="25" t="s">
        <v>124</v>
      </c>
      <c r="F30" s="26">
        <v>45761</v>
      </c>
      <c r="G30" s="25">
        <v>7301021</v>
      </c>
      <c r="H30" s="23" t="s">
        <v>56</v>
      </c>
      <c r="I30" s="25" t="s">
        <v>57</v>
      </c>
      <c r="J30" s="27">
        <v>189</v>
      </c>
      <c r="K30" s="27">
        <v>124.97</v>
      </c>
      <c r="L30" s="27">
        <v>64.03</v>
      </c>
      <c r="M30" s="2" t="s">
        <v>309</v>
      </c>
      <c r="N30" s="34"/>
      <c r="O30" s="34"/>
    </row>
    <row r="31" spans="1:15" ht="22.5" x14ac:dyDescent="0.2">
      <c r="A31" s="21">
        <v>652</v>
      </c>
      <c r="B31" s="22">
        <v>483</v>
      </c>
      <c r="C31" s="23" t="s">
        <v>123</v>
      </c>
      <c r="D31" s="24">
        <v>67584300</v>
      </c>
      <c r="E31" s="25" t="s">
        <v>124</v>
      </c>
      <c r="F31" s="26">
        <v>45761</v>
      </c>
      <c r="G31" s="25">
        <v>7301021</v>
      </c>
      <c r="H31" s="23" t="s">
        <v>56</v>
      </c>
      <c r="I31" s="25" t="s">
        <v>57</v>
      </c>
      <c r="J31" s="27">
        <v>189</v>
      </c>
      <c r="K31" s="27">
        <v>124.97</v>
      </c>
      <c r="L31" s="27">
        <v>64.03</v>
      </c>
      <c r="M31" s="2" t="s">
        <v>309</v>
      </c>
      <c r="N31" s="34"/>
      <c r="O31" s="34"/>
    </row>
    <row r="32" spans="1:15" x14ac:dyDescent="0.2">
      <c r="A32" s="21">
        <v>653</v>
      </c>
      <c r="B32" s="22">
        <v>483</v>
      </c>
      <c r="C32" s="23" t="s">
        <v>123</v>
      </c>
      <c r="D32" s="24">
        <v>68040740</v>
      </c>
      <c r="E32" s="25" t="s">
        <v>124</v>
      </c>
      <c r="F32" s="26">
        <v>45815</v>
      </c>
      <c r="G32" s="25">
        <v>3522893</v>
      </c>
      <c r="H32" s="23" t="s">
        <v>77</v>
      </c>
      <c r="I32" s="25" t="s">
        <v>78</v>
      </c>
      <c r="J32" s="27">
        <v>2518</v>
      </c>
      <c r="K32" s="27">
        <v>1664.9</v>
      </c>
      <c r="L32" s="27">
        <v>853.1</v>
      </c>
      <c r="M32" s="2" t="s">
        <v>309</v>
      </c>
      <c r="N32" s="34"/>
      <c r="O32" s="34"/>
    </row>
    <row r="33" spans="1:15" ht="22.5" x14ac:dyDescent="0.2">
      <c r="A33" s="21">
        <v>654</v>
      </c>
      <c r="B33" s="22">
        <v>483</v>
      </c>
      <c r="C33" s="23" t="s">
        <v>123</v>
      </c>
      <c r="D33" s="24">
        <v>68040740</v>
      </c>
      <c r="E33" s="25" t="s">
        <v>124</v>
      </c>
      <c r="F33" s="26">
        <v>45815</v>
      </c>
      <c r="G33" s="25">
        <v>3528965</v>
      </c>
      <c r="H33" s="23" t="s">
        <v>127</v>
      </c>
      <c r="I33" s="25" t="s">
        <v>128</v>
      </c>
      <c r="J33" s="27">
        <v>3299</v>
      </c>
      <c r="K33" s="27">
        <v>2181.3000000000002</v>
      </c>
      <c r="L33" s="27">
        <v>1117.7</v>
      </c>
      <c r="M33" s="2" t="s">
        <v>309</v>
      </c>
      <c r="N33" s="34"/>
      <c r="O33" s="34"/>
    </row>
    <row r="34" spans="1:15" ht="22.5" x14ac:dyDescent="0.2">
      <c r="A34" s="21">
        <v>655</v>
      </c>
      <c r="B34" s="22">
        <v>483</v>
      </c>
      <c r="C34" s="23" t="s">
        <v>123</v>
      </c>
      <c r="D34" s="24">
        <v>68040740</v>
      </c>
      <c r="E34" s="25" t="s">
        <v>124</v>
      </c>
      <c r="F34" s="26">
        <v>45815</v>
      </c>
      <c r="G34" s="25">
        <v>6868046</v>
      </c>
      <c r="H34" s="23" t="s">
        <v>79</v>
      </c>
      <c r="I34" s="25" t="s">
        <v>129</v>
      </c>
      <c r="J34" s="27">
        <v>48</v>
      </c>
      <c r="K34" s="27">
        <v>31.74</v>
      </c>
      <c r="L34" s="27">
        <v>16.260000000000002</v>
      </c>
      <c r="M34" s="2" t="s">
        <v>309</v>
      </c>
      <c r="N34" s="34"/>
      <c r="O34" s="34"/>
    </row>
    <row r="35" spans="1:15" ht="22.5" x14ac:dyDescent="0.2">
      <c r="A35" s="21">
        <v>656</v>
      </c>
      <c r="B35" s="22">
        <v>483</v>
      </c>
      <c r="C35" s="23" t="s">
        <v>130</v>
      </c>
      <c r="D35" s="24">
        <v>67585869</v>
      </c>
      <c r="E35" s="25" t="s">
        <v>131</v>
      </c>
      <c r="F35" s="26">
        <v>45789</v>
      </c>
      <c r="G35" s="25">
        <v>3073061</v>
      </c>
      <c r="H35" s="23" t="s">
        <v>42</v>
      </c>
      <c r="I35" s="25" t="s">
        <v>43</v>
      </c>
      <c r="J35" s="27">
        <v>66</v>
      </c>
      <c r="K35" s="27">
        <v>55.92</v>
      </c>
      <c r="L35" s="27">
        <v>10.08</v>
      </c>
      <c r="M35" s="2" t="s">
        <v>309</v>
      </c>
      <c r="N35" s="34"/>
      <c r="O35" s="34"/>
    </row>
    <row r="36" spans="1:15" ht="22.5" x14ac:dyDescent="0.2">
      <c r="A36" s="21">
        <v>657</v>
      </c>
      <c r="B36" s="22">
        <v>483</v>
      </c>
      <c r="C36" s="23" t="s">
        <v>130</v>
      </c>
      <c r="D36" s="24">
        <v>67585869</v>
      </c>
      <c r="E36" s="25" t="s">
        <v>131</v>
      </c>
      <c r="F36" s="26">
        <v>45817</v>
      </c>
      <c r="G36" s="25">
        <v>3073061</v>
      </c>
      <c r="H36" s="23" t="s">
        <v>42</v>
      </c>
      <c r="I36" s="25" t="s">
        <v>43</v>
      </c>
      <c r="J36" s="27">
        <v>66</v>
      </c>
      <c r="K36" s="27">
        <v>55.92</v>
      </c>
      <c r="L36" s="27">
        <v>10.08</v>
      </c>
      <c r="M36" s="2" t="s">
        <v>309</v>
      </c>
      <c r="N36" s="34"/>
      <c r="O36" s="34"/>
    </row>
    <row r="37" spans="1:15" x14ac:dyDescent="0.2">
      <c r="A37" s="21">
        <v>658</v>
      </c>
      <c r="B37" s="22">
        <v>483</v>
      </c>
      <c r="C37" s="23" t="s">
        <v>130</v>
      </c>
      <c r="D37" s="24">
        <v>67585869</v>
      </c>
      <c r="E37" s="25" t="s">
        <v>131</v>
      </c>
      <c r="F37" s="26">
        <v>45817</v>
      </c>
      <c r="G37" s="25">
        <v>3073624</v>
      </c>
      <c r="H37" s="23" t="s">
        <v>113</v>
      </c>
      <c r="I37" s="25" t="s">
        <v>114</v>
      </c>
      <c r="J37" s="27">
        <v>166</v>
      </c>
      <c r="K37" s="27">
        <v>152.41</v>
      </c>
      <c r="L37" s="27">
        <v>13.59</v>
      </c>
      <c r="M37" s="2" t="s">
        <v>309</v>
      </c>
      <c r="N37" s="34"/>
      <c r="O37" s="34"/>
    </row>
    <row r="38" spans="1:15" x14ac:dyDescent="0.2">
      <c r="A38" s="21">
        <v>659</v>
      </c>
      <c r="B38" s="22">
        <v>483</v>
      </c>
      <c r="C38" s="23" t="s">
        <v>130</v>
      </c>
      <c r="D38" s="24">
        <v>67585869</v>
      </c>
      <c r="E38" s="25" t="s">
        <v>131</v>
      </c>
      <c r="F38" s="26">
        <v>45789</v>
      </c>
      <c r="G38" s="25">
        <v>3074085</v>
      </c>
      <c r="H38" s="23" t="s">
        <v>91</v>
      </c>
      <c r="I38" s="25" t="s">
        <v>92</v>
      </c>
      <c r="J38" s="27">
        <v>55</v>
      </c>
      <c r="K38" s="27">
        <v>46.54</v>
      </c>
      <c r="L38" s="27">
        <v>8.4600000000000009</v>
      </c>
      <c r="M38" s="2" t="s">
        <v>309</v>
      </c>
      <c r="N38" s="34"/>
      <c r="O38" s="34"/>
    </row>
    <row r="39" spans="1:15" x14ac:dyDescent="0.2">
      <c r="A39" s="21">
        <v>660</v>
      </c>
      <c r="B39" s="22">
        <v>483</v>
      </c>
      <c r="C39" s="23" t="s">
        <v>130</v>
      </c>
      <c r="D39" s="24">
        <v>67585869</v>
      </c>
      <c r="E39" s="25" t="s">
        <v>131</v>
      </c>
      <c r="F39" s="26">
        <v>45817</v>
      </c>
      <c r="G39" s="25">
        <v>3074085</v>
      </c>
      <c r="H39" s="23" t="s">
        <v>91</v>
      </c>
      <c r="I39" s="25" t="s">
        <v>92</v>
      </c>
      <c r="J39" s="27">
        <v>55</v>
      </c>
      <c r="K39" s="27">
        <v>46.54</v>
      </c>
      <c r="L39" s="27">
        <v>8.4600000000000009</v>
      </c>
      <c r="M39" s="2" t="s">
        <v>309</v>
      </c>
      <c r="N39" s="34"/>
      <c r="O39" s="34"/>
    </row>
    <row r="40" spans="1:15" x14ac:dyDescent="0.2">
      <c r="A40" s="21">
        <v>661</v>
      </c>
      <c r="B40" s="22">
        <v>483</v>
      </c>
      <c r="C40" s="23" t="s">
        <v>130</v>
      </c>
      <c r="D40" s="24">
        <v>67585869</v>
      </c>
      <c r="E40" s="25" t="s">
        <v>131</v>
      </c>
      <c r="F40" s="26">
        <v>45817</v>
      </c>
      <c r="G40" s="25">
        <v>3074192</v>
      </c>
      <c r="H40" s="23" t="s">
        <v>125</v>
      </c>
      <c r="I40" s="25" t="s">
        <v>126</v>
      </c>
      <c r="J40" s="27">
        <v>202</v>
      </c>
      <c r="K40" s="27">
        <v>183.25</v>
      </c>
      <c r="L40" s="27">
        <v>18.75</v>
      </c>
      <c r="M40" s="2" t="s">
        <v>309</v>
      </c>
      <c r="N40" s="34"/>
      <c r="O40" s="34"/>
    </row>
    <row r="41" spans="1:15" ht="22.5" x14ac:dyDescent="0.2">
      <c r="A41" s="21">
        <v>662</v>
      </c>
      <c r="B41" s="22">
        <v>483</v>
      </c>
      <c r="C41" s="23" t="s">
        <v>130</v>
      </c>
      <c r="D41" s="24">
        <v>67585869</v>
      </c>
      <c r="E41" s="25" t="s">
        <v>131</v>
      </c>
      <c r="F41" s="26">
        <v>45789</v>
      </c>
      <c r="G41" s="25">
        <v>3088119</v>
      </c>
      <c r="H41" s="23" t="s">
        <v>107</v>
      </c>
      <c r="I41" s="25" t="s">
        <v>108</v>
      </c>
      <c r="J41" s="27">
        <v>62</v>
      </c>
      <c r="K41" s="27">
        <v>57.56</v>
      </c>
      <c r="L41" s="27">
        <v>4.4400000000000004</v>
      </c>
      <c r="M41" s="2" t="s">
        <v>309</v>
      </c>
      <c r="N41" s="34"/>
      <c r="O41" s="34"/>
    </row>
    <row r="42" spans="1:15" ht="22.5" x14ac:dyDescent="0.2">
      <c r="A42" s="21">
        <v>663</v>
      </c>
      <c r="B42" s="22">
        <v>483</v>
      </c>
      <c r="C42" s="23" t="s">
        <v>130</v>
      </c>
      <c r="D42" s="24">
        <v>67585869</v>
      </c>
      <c r="E42" s="25" t="s">
        <v>131</v>
      </c>
      <c r="F42" s="26">
        <v>45817</v>
      </c>
      <c r="G42" s="25">
        <v>3088119</v>
      </c>
      <c r="H42" s="23" t="s">
        <v>107</v>
      </c>
      <c r="I42" s="25" t="s">
        <v>108</v>
      </c>
      <c r="J42" s="27">
        <v>62</v>
      </c>
      <c r="K42" s="27">
        <v>57.56</v>
      </c>
      <c r="L42" s="27">
        <v>4.4400000000000004</v>
      </c>
      <c r="M42" s="2" t="s">
        <v>309</v>
      </c>
      <c r="N42" s="34"/>
      <c r="O42" s="34"/>
    </row>
    <row r="43" spans="1:15" ht="22.5" x14ac:dyDescent="0.2">
      <c r="A43" s="21">
        <v>664</v>
      </c>
      <c r="B43" s="22">
        <v>483</v>
      </c>
      <c r="C43" s="23" t="s">
        <v>130</v>
      </c>
      <c r="D43" s="24">
        <v>67585869</v>
      </c>
      <c r="E43" s="25" t="s">
        <v>131</v>
      </c>
      <c r="F43" s="26">
        <v>45789</v>
      </c>
      <c r="G43" s="25">
        <v>7301021</v>
      </c>
      <c r="H43" s="23" t="s">
        <v>56</v>
      </c>
      <c r="I43" s="25" t="s">
        <v>57</v>
      </c>
      <c r="J43" s="27">
        <v>189</v>
      </c>
      <c r="K43" s="27">
        <v>124.97</v>
      </c>
      <c r="L43" s="27">
        <v>64.03</v>
      </c>
      <c r="M43" s="2" t="s">
        <v>309</v>
      </c>
      <c r="N43" s="34"/>
      <c r="O43" s="34"/>
    </row>
    <row r="44" spans="1:15" ht="22.5" x14ac:dyDescent="0.2">
      <c r="A44" s="21">
        <v>665</v>
      </c>
      <c r="B44" s="22">
        <v>483</v>
      </c>
      <c r="C44" s="23" t="s">
        <v>132</v>
      </c>
      <c r="D44" s="24">
        <v>67923797</v>
      </c>
      <c r="E44" s="25" t="s">
        <v>133</v>
      </c>
      <c r="F44" s="26">
        <v>45805</v>
      </c>
      <c r="G44" s="25">
        <v>3073061</v>
      </c>
      <c r="H44" s="23" t="s">
        <v>42</v>
      </c>
      <c r="I44" s="25" t="s">
        <v>43</v>
      </c>
      <c r="J44" s="27">
        <v>66</v>
      </c>
      <c r="K44" s="27">
        <v>55.92</v>
      </c>
      <c r="L44" s="27">
        <v>10.08</v>
      </c>
      <c r="M44" s="2" t="s">
        <v>309</v>
      </c>
      <c r="N44" s="34"/>
      <c r="O44" s="34"/>
    </row>
    <row r="45" spans="1:15" ht="22.5" x14ac:dyDescent="0.2">
      <c r="A45" s="21">
        <v>666</v>
      </c>
      <c r="B45" s="22">
        <v>483</v>
      </c>
      <c r="C45" s="23" t="s">
        <v>132</v>
      </c>
      <c r="D45" s="24">
        <v>67923797</v>
      </c>
      <c r="E45" s="25" t="s">
        <v>133</v>
      </c>
      <c r="F45" s="26">
        <v>45805</v>
      </c>
      <c r="G45" s="25">
        <v>3074085</v>
      </c>
      <c r="H45" s="23" t="s">
        <v>91</v>
      </c>
      <c r="I45" s="25" t="s">
        <v>92</v>
      </c>
      <c r="J45" s="27">
        <v>55</v>
      </c>
      <c r="K45" s="27">
        <v>46.54</v>
      </c>
      <c r="L45" s="27">
        <v>8.4600000000000009</v>
      </c>
      <c r="M45" s="2" t="s">
        <v>309</v>
      </c>
      <c r="N45" s="34"/>
      <c r="O45" s="34"/>
    </row>
    <row r="46" spans="1:15" ht="22.5" x14ac:dyDescent="0.2">
      <c r="A46" s="21">
        <v>667</v>
      </c>
      <c r="B46" s="22">
        <v>483</v>
      </c>
      <c r="C46" s="23" t="s">
        <v>132</v>
      </c>
      <c r="D46" s="24">
        <v>67923797</v>
      </c>
      <c r="E46" s="25" t="s">
        <v>133</v>
      </c>
      <c r="F46" s="26">
        <v>45805</v>
      </c>
      <c r="G46" s="25">
        <v>3088119</v>
      </c>
      <c r="H46" s="23" t="s">
        <v>107</v>
      </c>
      <c r="I46" s="25" t="s">
        <v>108</v>
      </c>
      <c r="J46" s="27">
        <v>62</v>
      </c>
      <c r="K46" s="27">
        <v>57.56</v>
      </c>
      <c r="L46" s="27">
        <v>4.4400000000000004</v>
      </c>
      <c r="M46" s="2" t="s">
        <v>309</v>
      </c>
      <c r="N46" s="34"/>
      <c r="O46" s="34"/>
    </row>
    <row r="47" spans="1:15" ht="22.5" x14ac:dyDescent="0.2">
      <c r="A47" s="21">
        <v>668</v>
      </c>
      <c r="B47" s="22">
        <v>483</v>
      </c>
      <c r="C47" s="23" t="s">
        <v>132</v>
      </c>
      <c r="D47" s="24">
        <v>67923797</v>
      </c>
      <c r="E47" s="25" t="s">
        <v>133</v>
      </c>
      <c r="F47" s="26">
        <v>45805</v>
      </c>
      <c r="G47" s="25">
        <v>7301021</v>
      </c>
      <c r="H47" s="23" t="s">
        <v>56</v>
      </c>
      <c r="I47" s="25" t="s">
        <v>57</v>
      </c>
      <c r="J47" s="27">
        <v>189</v>
      </c>
      <c r="K47" s="27">
        <v>124.97</v>
      </c>
      <c r="L47" s="27">
        <v>64.03</v>
      </c>
      <c r="M47" s="2" t="s">
        <v>309</v>
      </c>
      <c r="N47" s="34"/>
      <c r="O47" s="34"/>
    </row>
    <row r="48" spans="1:15" ht="22.5" x14ac:dyDescent="0.2">
      <c r="A48" s="21">
        <v>669</v>
      </c>
      <c r="B48" s="22">
        <v>483</v>
      </c>
      <c r="C48" s="23" t="s">
        <v>123</v>
      </c>
      <c r="D48" s="24">
        <v>67987065</v>
      </c>
      <c r="E48" s="25" t="s">
        <v>124</v>
      </c>
      <c r="F48" s="26">
        <v>45805</v>
      </c>
      <c r="G48" s="25">
        <v>3073061</v>
      </c>
      <c r="H48" s="23" t="s">
        <v>42</v>
      </c>
      <c r="I48" s="25" t="s">
        <v>43</v>
      </c>
      <c r="J48" s="27">
        <v>66</v>
      </c>
      <c r="K48" s="27">
        <v>55.92</v>
      </c>
      <c r="L48" s="27">
        <v>10.08</v>
      </c>
      <c r="M48" s="2" t="s">
        <v>309</v>
      </c>
      <c r="N48" s="34"/>
      <c r="O48" s="34"/>
    </row>
    <row r="49" spans="1:15" ht="22.5" x14ac:dyDescent="0.2">
      <c r="A49" s="21">
        <v>670</v>
      </c>
      <c r="B49" s="22">
        <v>483</v>
      </c>
      <c r="C49" s="23" t="s">
        <v>123</v>
      </c>
      <c r="D49" s="24">
        <v>67987065</v>
      </c>
      <c r="E49" s="25" t="s">
        <v>124</v>
      </c>
      <c r="F49" s="26">
        <v>45817</v>
      </c>
      <c r="G49" s="25">
        <v>3073061</v>
      </c>
      <c r="H49" s="23" t="s">
        <v>42</v>
      </c>
      <c r="I49" s="25" t="s">
        <v>43</v>
      </c>
      <c r="J49" s="27">
        <v>66</v>
      </c>
      <c r="K49" s="27">
        <v>55.92</v>
      </c>
      <c r="L49" s="27">
        <v>10.08</v>
      </c>
      <c r="M49" s="2" t="s">
        <v>309</v>
      </c>
      <c r="N49" s="34"/>
      <c r="O49" s="34"/>
    </row>
    <row r="50" spans="1:15" x14ac:dyDescent="0.2">
      <c r="A50" s="21">
        <v>671</v>
      </c>
      <c r="B50" s="22">
        <v>483</v>
      </c>
      <c r="C50" s="23" t="s">
        <v>123</v>
      </c>
      <c r="D50" s="24">
        <v>67987065</v>
      </c>
      <c r="E50" s="25" t="s">
        <v>124</v>
      </c>
      <c r="F50" s="26">
        <v>45805</v>
      </c>
      <c r="G50" s="25">
        <v>3074085</v>
      </c>
      <c r="H50" s="23" t="s">
        <v>91</v>
      </c>
      <c r="I50" s="25" t="s">
        <v>92</v>
      </c>
      <c r="J50" s="27">
        <v>55</v>
      </c>
      <c r="K50" s="27">
        <v>46.54</v>
      </c>
      <c r="L50" s="27">
        <v>8.4600000000000009</v>
      </c>
      <c r="M50" s="2" t="s">
        <v>309</v>
      </c>
      <c r="N50" s="34"/>
      <c r="O50" s="34"/>
    </row>
    <row r="51" spans="1:15" x14ac:dyDescent="0.2">
      <c r="A51" s="21">
        <v>672</v>
      </c>
      <c r="B51" s="22">
        <v>483</v>
      </c>
      <c r="C51" s="23" t="s">
        <v>123</v>
      </c>
      <c r="D51" s="24">
        <v>67987065</v>
      </c>
      <c r="E51" s="25" t="s">
        <v>124</v>
      </c>
      <c r="F51" s="26">
        <v>45817</v>
      </c>
      <c r="G51" s="25">
        <v>3074085</v>
      </c>
      <c r="H51" s="23" t="s">
        <v>91</v>
      </c>
      <c r="I51" s="25" t="s">
        <v>92</v>
      </c>
      <c r="J51" s="27">
        <v>55</v>
      </c>
      <c r="K51" s="27">
        <v>46.54</v>
      </c>
      <c r="L51" s="27">
        <v>8.4600000000000009</v>
      </c>
      <c r="M51" s="2" t="s">
        <v>309</v>
      </c>
      <c r="N51" s="34"/>
      <c r="O51" s="34"/>
    </row>
    <row r="52" spans="1:15" ht="22.5" x14ac:dyDescent="0.2">
      <c r="A52" s="21">
        <v>673</v>
      </c>
      <c r="B52" s="22">
        <v>483</v>
      </c>
      <c r="C52" s="23" t="s">
        <v>123</v>
      </c>
      <c r="D52" s="24">
        <v>67987065</v>
      </c>
      <c r="E52" s="25" t="s">
        <v>124</v>
      </c>
      <c r="F52" s="26">
        <v>45805</v>
      </c>
      <c r="G52" s="25">
        <v>3088119</v>
      </c>
      <c r="H52" s="23" t="s">
        <v>107</v>
      </c>
      <c r="I52" s="25" t="s">
        <v>108</v>
      </c>
      <c r="J52" s="27">
        <v>62</v>
      </c>
      <c r="K52" s="27">
        <v>57.56</v>
      </c>
      <c r="L52" s="27">
        <v>4.4400000000000004</v>
      </c>
      <c r="M52" s="2" t="s">
        <v>309</v>
      </c>
      <c r="N52" s="34"/>
      <c r="O52" s="34"/>
    </row>
    <row r="53" spans="1:15" ht="22.5" x14ac:dyDescent="0.2">
      <c r="A53" s="21">
        <v>674</v>
      </c>
      <c r="B53" s="22">
        <v>483</v>
      </c>
      <c r="C53" s="23" t="s">
        <v>123</v>
      </c>
      <c r="D53" s="24">
        <v>67987065</v>
      </c>
      <c r="E53" s="25" t="s">
        <v>124</v>
      </c>
      <c r="F53" s="26">
        <v>45817</v>
      </c>
      <c r="G53" s="25">
        <v>3088119</v>
      </c>
      <c r="H53" s="23" t="s">
        <v>107</v>
      </c>
      <c r="I53" s="25" t="s">
        <v>108</v>
      </c>
      <c r="J53" s="27">
        <v>62</v>
      </c>
      <c r="K53" s="27">
        <v>57.56</v>
      </c>
      <c r="L53" s="27">
        <v>4.4400000000000004</v>
      </c>
      <c r="M53" s="2" t="s">
        <v>309</v>
      </c>
      <c r="N53" s="34"/>
      <c r="O53" s="34"/>
    </row>
    <row r="54" spans="1:15" ht="22.5" x14ac:dyDescent="0.2">
      <c r="A54" s="21">
        <v>675</v>
      </c>
      <c r="B54" s="22">
        <v>483</v>
      </c>
      <c r="C54" s="23" t="s">
        <v>132</v>
      </c>
      <c r="D54" s="24">
        <v>67923938</v>
      </c>
      <c r="E54" s="25" t="s">
        <v>133</v>
      </c>
      <c r="F54" s="26">
        <v>45834</v>
      </c>
      <c r="G54" s="25">
        <v>3073061</v>
      </c>
      <c r="H54" s="23" t="s">
        <v>42</v>
      </c>
      <c r="I54" s="25" t="s">
        <v>43</v>
      </c>
      <c r="J54" s="27">
        <v>66</v>
      </c>
      <c r="K54" s="27">
        <v>55.92</v>
      </c>
      <c r="L54" s="27">
        <v>10.08</v>
      </c>
      <c r="M54" s="2" t="s">
        <v>309</v>
      </c>
      <c r="N54" s="34"/>
      <c r="O54" s="34"/>
    </row>
    <row r="55" spans="1:15" ht="22.5" x14ac:dyDescent="0.2">
      <c r="A55" s="21">
        <v>676</v>
      </c>
      <c r="B55" s="22">
        <v>483</v>
      </c>
      <c r="C55" s="23" t="s">
        <v>132</v>
      </c>
      <c r="D55" s="24">
        <v>67923938</v>
      </c>
      <c r="E55" s="25" t="s">
        <v>133</v>
      </c>
      <c r="F55" s="26">
        <v>45834</v>
      </c>
      <c r="G55" s="25">
        <v>3074085</v>
      </c>
      <c r="H55" s="23" t="s">
        <v>91</v>
      </c>
      <c r="I55" s="25" t="s">
        <v>92</v>
      </c>
      <c r="J55" s="27">
        <v>55</v>
      </c>
      <c r="K55" s="27">
        <v>46.54</v>
      </c>
      <c r="L55" s="27">
        <v>8.4600000000000009</v>
      </c>
      <c r="M55" s="2" t="s">
        <v>309</v>
      </c>
      <c r="N55" s="34"/>
      <c r="O55" s="34"/>
    </row>
    <row r="56" spans="1:15" ht="22.5" x14ac:dyDescent="0.2">
      <c r="A56" s="21">
        <v>677</v>
      </c>
      <c r="B56" s="22">
        <v>483</v>
      </c>
      <c r="C56" s="23" t="s">
        <v>132</v>
      </c>
      <c r="D56" s="24">
        <v>67923938</v>
      </c>
      <c r="E56" s="25" t="s">
        <v>133</v>
      </c>
      <c r="F56" s="26">
        <v>45834</v>
      </c>
      <c r="G56" s="25">
        <v>3088119</v>
      </c>
      <c r="H56" s="23" t="s">
        <v>107</v>
      </c>
      <c r="I56" s="25" t="s">
        <v>108</v>
      </c>
      <c r="J56" s="27">
        <v>62</v>
      </c>
      <c r="K56" s="27">
        <v>57.56</v>
      </c>
      <c r="L56" s="27">
        <v>4.4400000000000004</v>
      </c>
      <c r="M56" s="2" t="s">
        <v>309</v>
      </c>
      <c r="N56" s="34"/>
      <c r="O56" s="34"/>
    </row>
    <row r="57" spans="1:15" x14ac:dyDescent="0.2">
      <c r="B57" s="12"/>
      <c r="C57" s="28"/>
      <c r="D57" s="29"/>
      <c r="E57" s="12"/>
      <c r="F57" s="12"/>
      <c r="G57" s="12"/>
      <c r="H57" s="30"/>
      <c r="I57" s="30"/>
      <c r="J57" s="30"/>
      <c r="K57" s="36"/>
      <c r="L57" s="11"/>
    </row>
    <row r="58" spans="1:15" x14ac:dyDescent="0.2">
      <c r="B58" s="12"/>
      <c r="C58" s="28"/>
      <c r="D58" s="29"/>
      <c r="E58" s="15"/>
      <c r="F58" s="15"/>
      <c r="G58" s="15"/>
      <c r="H58" s="15"/>
      <c r="I58" s="30"/>
      <c r="J58" s="30"/>
      <c r="K58" s="11"/>
      <c r="L58" s="11"/>
    </row>
    <row r="59" spans="1:15" x14ac:dyDescent="0.2">
      <c r="B59" s="12"/>
      <c r="C59" s="28"/>
      <c r="D59" s="29"/>
      <c r="E59" s="12"/>
      <c r="F59" s="11"/>
      <c r="G59" s="11"/>
      <c r="H59" s="11"/>
      <c r="I59" s="30"/>
      <c r="J59" s="30"/>
      <c r="K59" s="11"/>
      <c r="L59" s="11"/>
    </row>
    <row r="60" spans="1:15" ht="13.5" thickBot="1" x14ac:dyDescent="0.25">
      <c r="B60" s="12"/>
      <c r="C60" s="28"/>
      <c r="D60" s="11" t="s">
        <v>62</v>
      </c>
      <c r="E60" s="31"/>
      <c r="F60" s="31"/>
      <c r="G60" s="31"/>
      <c r="H60" s="32"/>
      <c r="I60" s="11"/>
      <c r="J60" s="30"/>
      <c r="K60" s="11"/>
      <c r="L60" s="33">
        <f>SUM(L25:L56)</f>
        <v>2519.1600000000008</v>
      </c>
    </row>
    <row r="61" spans="1:15" ht="13.5" thickTop="1" x14ac:dyDescent="0.2">
      <c r="B61" s="12"/>
      <c r="C61" s="28"/>
      <c r="D61" s="35"/>
      <c r="E61" s="31"/>
      <c r="F61" s="31"/>
      <c r="G61" s="31"/>
      <c r="H61" s="32"/>
      <c r="I61" s="11"/>
      <c r="J61" s="30"/>
      <c r="K61" s="11"/>
      <c r="L61" s="36"/>
    </row>
    <row r="65" spans="3:11" ht="59.65" customHeight="1" x14ac:dyDescent="0.25">
      <c r="C65"/>
      <c r="D65"/>
      <c r="E65"/>
      <c r="F65"/>
      <c r="G65"/>
      <c r="H65"/>
      <c r="I65"/>
      <c r="J65"/>
      <c r="K65"/>
    </row>
  </sheetData>
  <autoFilter ref="A24:O56" xr:uid="{591D1529-32EE-4A4F-9DC7-6A4BD1B92B05}"/>
  <mergeCells count="4">
    <mergeCell ref="I14:J14"/>
    <mergeCell ref="B16:L16"/>
    <mergeCell ref="B17:L17"/>
    <mergeCell ref="J21:K21"/>
  </mergeCells>
  <dataValidations count="1">
    <dataValidation type="list" allowBlank="1" showInputMessage="1" showErrorMessage="1" sqref="C19:D19" xr:uid="{211F11A4-C535-4434-9664-908588E5AD10}">
      <formula1>#REF!</formula1>
    </dataValidation>
  </dataValidations>
  <pageMargins left="0.25" right="0.25" top="0.5" bottom="0.5" header="0.3" footer="0.3"/>
  <pageSetup fitToHeight="0" orientation="landscape" r:id="rId1"/>
  <headerFooter differentFirst="1">
    <oddFooter>&amp;L&amp;P</oddFooter>
    <firstFooter>&amp;L&amp;P&amp;C&amp;"Calibri,Bold"YOUR PROMPT PAYMENT WILL BE GREATLY APPRECIATED.
IF ANY OF THESE CLAIMS WERE BILLED IN ERROR, PLEASE EMAIL YVONNE AGUILAR  AT YVONNE.AGUILAR@BANNERHEALTH.COM, SO WE CAN BILL THE PATIENT IN A TIMELY MANNER.  THANK YOU.</first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7ADA7-F099-46B6-B5B9-63A3D2225E34}">
  <sheetPr>
    <tabColor theme="0"/>
    <pageSetUpPr fitToPage="1"/>
  </sheetPr>
  <dimension ref="A1:O39"/>
  <sheetViews>
    <sheetView topLeftCell="B1" zoomScaleNormal="100" workbookViewId="0">
      <selection activeCell="Q28" sqref="Q28"/>
    </sheetView>
  </sheetViews>
  <sheetFormatPr defaultColWidth="8.85546875" defaultRowHeight="12.75" x14ac:dyDescent="0.2"/>
  <cols>
    <col min="1" max="1" width="8.85546875" style="2" hidden="1" customWidth="1"/>
    <col min="2" max="2" width="13.28515625" style="2" customWidth="1"/>
    <col min="3" max="3" width="14.5703125" style="2" customWidth="1"/>
    <col min="4" max="4" width="14" style="2" customWidth="1"/>
    <col min="5" max="5" width="18.42578125" style="2" customWidth="1"/>
    <col min="6" max="7" width="11.42578125" style="2" customWidth="1"/>
    <col min="8" max="8" width="8.85546875" style="2"/>
    <col min="9" max="9" width="19.7109375" style="2" customWidth="1"/>
    <col min="10" max="10" width="10.28515625" style="2" customWidth="1"/>
    <col min="11" max="11" width="11.85546875" style="2" customWidth="1"/>
    <col min="12" max="12" width="9.5703125" style="2" customWidth="1"/>
    <col min="13" max="13" width="16.85546875" style="2" customWidth="1"/>
    <col min="14" max="16384" width="8.85546875" style="2"/>
  </cols>
  <sheetData>
    <row r="1" spans="2:12" x14ac:dyDescent="0.2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x14ac:dyDescent="0.2">
      <c r="B2" s="1"/>
      <c r="C2" s="1"/>
      <c r="D2" s="1"/>
      <c r="E2" s="1"/>
      <c r="F2" s="1"/>
      <c r="G2" s="37" t="s">
        <v>311</v>
      </c>
      <c r="H2" s="1"/>
      <c r="I2" s="3" t="s">
        <v>0</v>
      </c>
      <c r="J2" s="4" t="s">
        <v>134</v>
      </c>
      <c r="K2" s="1"/>
      <c r="L2" s="1"/>
    </row>
    <row r="3" spans="2:12" x14ac:dyDescent="0.2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2:12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2:12" x14ac:dyDescent="0.2"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2:12" ht="4.9000000000000004" customHeight="1" x14ac:dyDescent="0.2"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2:12" x14ac:dyDescent="0.2">
      <c r="B7" s="3" t="s">
        <v>2</v>
      </c>
      <c r="C7" s="1"/>
      <c r="D7" s="1"/>
      <c r="E7" s="1"/>
      <c r="F7" s="1"/>
      <c r="G7" s="1"/>
      <c r="H7" s="1"/>
      <c r="I7" s="5" t="s">
        <v>3</v>
      </c>
      <c r="J7" s="1"/>
      <c r="K7" s="1"/>
      <c r="L7" s="1"/>
    </row>
    <row r="8" spans="2:12" x14ac:dyDescent="0.2">
      <c r="B8" s="3" t="s">
        <v>4</v>
      </c>
      <c r="C8" s="1"/>
      <c r="D8" s="1"/>
      <c r="E8" s="1"/>
      <c r="F8" s="1"/>
      <c r="G8" s="1"/>
      <c r="H8" s="1"/>
      <c r="I8" s="3" t="s">
        <v>5</v>
      </c>
      <c r="J8" s="1"/>
      <c r="K8" s="1"/>
      <c r="L8" s="1"/>
    </row>
    <row r="9" spans="2:12" x14ac:dyDescent="0.2">
      <c r="B9" s="3" t="s">
        <v>6</v>
      </c>
      <c r="C9" s="1"/>
      <c r="D9" s="1"/>
      <c r="E9" s="1"/>
      <c r="F9" s="1"/>
      <c r="G9" s="1"/>
      <c r="H9" s="1"/>
      <c r="I9" s="3" t="s">
        <v>7</v>
      </c>
      <c r="J9" s="1"/>
      <c r="K9" s="1"/>
      <c r="L9" s="1"/>
    </row>
    <row r="10" spans="2:12" x14ac:dyDescent="0.2">
      <c r="B10" s="3" t="s">
        <v>8</v>
      </c>
      <c r="C10" s="1"/>
      <c r="D10" s="1"/>
      <c r="E10" s="1"/>
      <c r="F10" s="1"/>
      <c r="G10" s="1"/>
      <c r="H10" s="1"/>
      <c r="I10" s="6" t="s">
        <v>9</v>
      </c>
      <c r="J10" s="1"/>
      <c r="K10" s="1"/>
      <c r="L10" s="1"/>
    </row>
    <row r="11" spans="2:12" x14ac:dyDescent="0.2">
      <c r="B11" s="3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2:12" x14ac:dyDescent="0.2">
      <c r="B12" s="3" t="s">
        <v>11</v>
      </c>
      <c r="C12" s="1"/>
      <c r="D12" s="1"/>
      <c r="E12" s="1"/>
      <c r="F12" s="1"/>
      <c r="G12" s="1"/>
      <c r="H12" s="1"/>
      <c r="I12" s="6" t="s">
        <v>12</v>
      </c>
      <c r="J12" s="6" t="s">
        <v>13</v>
      </c>
      <c r="K12" s="6"/>
      <c r="L12" s="1"/>
    </row>
    <row r="13" spans="2:12" ht="4.1500000000000004" customHeight="1" thickBot="1" x14ac:dyDescent="0.25">
      <c r="B13" s="3"/>
      <c r="C13" s="1"/>
      <c r="D13" s="1"/>
      <c r="E13" s="1"/>
      <c r="F13" s="6"/>
      <c r="G13" s="6"/>
      <c r="H13" s="6"/>
      <c r="I13" s="1"/>
      <c r="J13" s="1"/>
      <c r="K13" s="1"/>
      <c r="L13" s="1"/>
    </row>
    <row r="14" spans="2:12" ht="13.5" thickBot="1" x14ac:dyDescent="0.25">
      <c r="B14" s="7"/>
      <c r="C14" s="1"/>
      <c r="D14" s="1"/>
      <c r="E14" s="1"/>
      <c r="F14" s="1"/>
      <c r="G14" s="1"/>
      <c r="H14" s="1"/>
      <c r="I14" s="44" t="s">
        <v>14</v>
      </c>
      <c r="J14" s="45"/>
      <c r="K14" s="8" t="s">
        <v>15</v>
      </c>
      <c r="L14" s="9"/>
    </row>
    <row r="15" spans="2:12" ht="6" customHeight="1" thickBot="1" x14ac:dyDescent="0.25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2:12" ht="19.7" customHeight="1" thickTop="1" x14ac:dyDescent="0.2">
      <c r="B16" s="46" t="s">
        <v>16</v>
      </c>
      <c r="C16" s="46"/>
      <c r="D16" s="46"/>
      <c r="E16" s="46"/>
      <c r="F16" s="46"/>
      <c r="G16" s="46"/>
      <c r="H16" s="46"/>
      <c r="I16" s="46"/>
      <c r="J16" s="46"/>
      <c r="K16" s="46"/>
      <c r="L16" s="46"/>
    </row>
    <row r="17" spans="1:15" ht="15.6" customHeight="1" x14ac:dyDescent="0.2">
      <c r="B17" s="47">
        <v>45838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</row>
    <row r="18" spans="1:15" x14ac:dyDescent="0.2">
      <c r="B18" s="11" t="s">
        <v>307</v>
      </c>
      <c r="C18" s="11" t="s">
        <v>317</v>
      </c>
      <c r="D18" s="11"/>
      <c r="E18" s="12"/>
      <c r="F18" s="11" t="s">
        <v>317</v>
      </c>
      <c r="G18" s="11"/>
      <c r="H18" s="11"/>
      <c r="I18" s="1"/>
      <c r="J18" s="11"/>
      <c r="K18" s="11"/>
      <c r="L18" s="11"/>
    </row>
    <row r="19" spans="1:15" x14ac:dyDescent="0.2">
      <c r="A19" s="2" t="s">
        <v>18</v>
      </c>
      <c r="B19" s="11" t="s">
        <v>19</v>
      </c>
      <c r="C19" s="14" t="s">
        <v>135</v>
      </c>
      <c r="D19" s="11"/>
      <c r="E19" s="12"/>
      <c r="F19" s="14" t="s">
        <v>135</v>
      </c>
      <c r="G19" s="1"/>
      <c r="H19" s="1"/>
      <c r="I19" s="1"/>
      <c r="J19" s="1"/>
      <c r="K19" s="1"/>
      <c r="L19" s="11"/>
    </row>
    <row r="20" spans="1:15" ht="13.5" thickBot="1" x14ac:dyDescent="0.25">
      <c r="A20" s="2">
        <v>6</v>
      </c>
      <c r="B20" s="11" t="s">
        <v>21</v>
      </c>
      <c r="C20" s="14">
        <v>1910019977</v>
      </c>
      <c r="D20" s="11"/>
      <c r="E20" s="12"/>
      <c r="F20" s="14">
        <v>1910019977</v>
      </c>
      <c r="G20" s="15"/>
      <c r="H20" s="16"/>
      <c r="I20" s="41" t="s">
        <v>326</v>
      </c>
      <c r="J20" s="11"/>
      <c r="K20" s="11"/>
      <c r="L20" s="11"/>
    </row>
    <row r="21" spans="1:15" ht="13.9" customHeight="1" thickBot="1" x14ac:dyDescent="0.25">
      <c r="A21" s="2" t="s">
        <v>22</v>
      </c>
      <c r="B21" s="11" t="s">
        <v>23</v>
      </c>
      <c r="C21" s="14">
        <v>4246580</v>
      </c>
      <c r="E21" s="12"/>
      <c r="F21" s="14">
        <v>4246580</v>
      </c>
      <c r="G21" s="15"/>
      <c r="H21" s="16"/>
      <c r="I21" s="17" t="s">
        <v>24</v>
      </c>
      <c r="J21" s="51">
        <v>54.87</v>
      </c>
      <c r="K21" s="49"/>
      <c r="L21" s="11"/>
    </row>
    <row r="22" spans="1:15" x14ac:dyDescent="0.2">
      <c r="A22" s="2">
        <v>0</v>
      </c>
      <c r="B22" s="11" t="s">
        <v>26</v>
      </c>
      <c r="C22" s="14" t="s">
        <v>27</v>
      </c>
      <c r="D22" s="11"/>
      <c r="E22" s="12"/>
      <c r="F22" s="14" t="s">
        <v>27</v>
      </c>
      <c r="G22" s="12"/>
      <c r="H22" s="11"/>
      <c r="I22" s="11"/>
      <c r="J22" s="11"/>
      <c r="K22" s="11"/>
      <c r="L22" s="11"/>
    </row>
    <row r="23" spans="1:15" ht="4.1500000000000004" customHeight="1" x14ac:dyDescent="0.2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</row>
    <row r="24" spans="1:15" s="20" customFormat="1" ht="22.5" x14ac:dyDescent="0.2">
      <c r="A24" s="18" t="s">
        <v>28</v>
      </c>
      <c r="B24" s="19" t="s">
        <v>29</v>
      </c>
      <c r="C24" s="19" t="s">
        <v>30</v>
      </c>
      <c r="D24" s="19" t="s">
        <v>31</v>
      </c>
      <c r="E24" s="19" t="s">
        <v>32</v>
      </c>
      <c r="F24" s="19" t="s">
        <v>33</v>
      </c>
      <c r="G24" s="19" t="s">
        <v>34</v>
      </c>
      <c r="H24" s="19" t="s">
        <v>35</v>
      </c>
      <c r="I24" s="19" t="s">
        <v>36</v>
      </c>
      <c r="J24" s="19" t="s">
        <v>37</v>
      </c>
      <c r="K24" s="19" t="s">
        <v>38</v>
      </c>
      <c r="L24" s="19" t="s">
        <v>39</v>
      </c>
      <c r="M24" s="20" t="s">
        <v>319</v>
      </c>
    </row>
    <row r="25" spans="1:15" x14ac:dyDescent="0.2">
      <c r="A25" s="21">
        <v>726</v>
      </c>
      <c r="B25" s="22">
        <v>483</v>
      </c>
      <c r="C25" s="23" t="s">
        <v>136</v>
      </c>
      <c r="D25" s="24">
        <v>67852400</v>
      </c>
      <c r="E25" s="25" t="s">
        <v>137</v>
      </c>
      <c r="F25" s="26">
        <v>45811</v>
      </c>
      <c r="G25" s="25">
        <v>3062650</v>
      </c>
      <c r="H25" s="23" t="s">
        <v>138</v>
      </c>
      <c r="I25" s="25" t="s">
        <v>139</v>
      </c>
      <c r="J25" s="27">
        <v>45</v>
      </c>
      <c r="K25" s="27">
        <v>35.93</v>
      </c>
      <c r="L25" s="27">
        <v>9.07</v>
      </c>
      <c r="M25" s="2" t="s">
        <v>309</v>
      </c>
      <c r="N25" s="34"/>
      <c r="O25" s="34"/>
    </row>
    <row r="26" spans="1:15" ht="25.5" x14ac:dyDescent="0.2">
      <c r="A26" s="21">
        <v>727</v>
      </c>
      <c r="B26" s="22">
        <v>483</v>
      </c>
      <c r="C26" s="23" t="s">
        <v>136</v>
      </c>
      <c r="D26" s="24">
        <v>67852400</v>
      </c>
      <c r="E26" s="25" t="s">
        <v>137</v>
      </c>
      <c r="F26" s="26">
        <v>45811</v>
      </c>
      <c r="G26" s="25">
        <v>3063641</v>
      </c>
      <c r="H26" s="23" t="s">
        <v>140</v>
      </c>
      <c r="I26" s="25" t="s">
        <v>141</v>
      </c>
      <c r="J26" s="27">
        <v>475</v>
      </c>
      <c r="K26" s="27">
        <v>460.22</v>
      </c>
      <c r="L26" s="27">
        <v>14.78</v>
      </c>
      <c r="M26" s="38" t="s">
        <v>318</v>
      </c>
      <c r="N26" s="34"/>
      <c r="O26" s="34"/>
    </row>
    <row r="27" spans="1:15" x14ac:dyDescent="0.2">
      <c r="A27" s="21">
        <v>728</v>
      </c>
      <c r="B27" s="22">
        <v>483</v>
      </c>
      <c r="C27" s="23" t="s">
        <v>136</v>
      </c>
      <c r="D27" s="24">
        <v>67852400</v>
      </c>
      <c r="E27" s="25" t="s">
        <v>137</v>
      </c>
      <c r="F27" s="26">
        <v>45811</v>
      </c>
      <c r="G27" s="25">
        <v>3074176</v>
      </c>
      <c r="H27" s="23" t="s">
        <v>44</v>
      </c>
      <c r="I27" s="25" t="s">
        <v>45</v>
      </c>
      <c r="J27" s="27">
        <v>93</v>
      </c>
      <c r="K27" s="27">
        <v>83.35</v>
      </c>
      <c r="L27" s="27">
        <v>9.65</v>
      </c>
      <c r="M27" s="2" t="s">
        <v>309</v>
      </c>
      <c r="N27" s="34"/>
      <c r="O27" s="34"/>
    </row>
    <row r="28" spans="1:15" ht="22.5" x14ac:dyDescent="0.2">
      <c r="A28" s="21">
        <v>729</v>
      </c>
      <c r="B28" s="22">
        <v>483</v>
      </c>
      <c r="C28" s="23" t="s">
        <v>136</v>
      </c>
      <c r="D28" s="24">
        <v>67852400</v>
      </c>
      <c r="E28" s="25" t="s">
        <v>137</v>
      </c>
      <c r="F28" s="26">
        <v>45811</v>
      </c>
      <c r="G28" s="25">
        <v>3076254</v>
      </c>
      <c r="H28" s="23" t="s">
        <v>46</v>
      </c>
      <c r="I28" s="25" t="s">
        <v>47</v>
      </c>
      <c r="J28" s="27">
        <v>93</v>
      </c>
      <c r="K28" s="27">
        <v>80.37</v>
      </c>
      <c r="L28" s="27">
        <v>12.63</v>
      </c>
      <c r="M28" s="2" t="s">
        <v>309</v>
      </c>
      <c r="N28" s="34"/>
      <c r="O28" s="34"/>
    </row>
    <row r="29" spans="1:15" ht="33.75" x14ac:dyDescent="0.2">
      <c r="A29" s="21">
        <v>730</v>
      </c>
      <c r="B29" s="22">
        <v>483</v>
      </c>
      <c r="C29" s="23" t="s">
        <v>136</v>
      </c>
      <c r="D29" s="24">
        <v>67852400</v>
      </c>
      <c r="E29" s="25" t="s">
        <v>137</v>
      </c>
      <c r="F29" s="26">
        <v>45811</v>
      </c>
      <c r="G29" s="25">
        <v>3076486</v>
      </c>
      <c r="H29" s="23" t="s">
        <v>48</v>
      </c>
      <c r="I29" s="25" t="s">
        <v>49</v>
      </c>
      <c r="J29" s="27">
        <v>124</v>
      </c>
      <c r="K29" s="27">
        <v>100.48</v>
      </c>
      <c r="L29" s="27">
        <v>23.52</v>
      </c>
      <c r="M29" s="2" t="s">
        <v>309</v>
      </c>
      <c r="N29" s="34"/>
      <c r="O29" s="34"/>
    </row>
    <row r="30" spans="1:15" ht="25.5" x14ac:dyDescent="0.2">
      <c r="A30" s="21">
        <v>731</v>
      </c>
      <c r="B30" s="22">
        <v>483</v>
      </c>
      <c r="C30" s="23" t="s">
        <v>136</v>
      </c>
      <c r="D30" s="24">
        <v>67852400</v>
      </c>
      <c r="E30" s="25" t="s">
        <v>137</v>
      </c>
      <c r="F30" s="26">
        <v>45811</v>
      </c>
      <c r="G30" s="25">
        <v>3079688</v>
      </c>
      <c r="H30" s="23" t="s">
        <v>142</v>
      </c>
      <c r="I30" s="25" t="s">
        <v>143</v>
      </c>
      <c r="J30" s="27">
        <v>107</v>
      </c>
      <c r="K30" s="27">
        <v>96.12</v>
      </c>
      <c r="L30" s="42">
        <v>10.88</v>
      </c>
      <c r="M30" s="38" t="s">
        <v>318</v>
      </c>
      <c r="N30" s="34"/>
      <c r="O30" s="34"/>
    </row>
    <row r="31" spans="1:15" x14ac:dyDescent="0.2">
      <c r="B31" s="12"/>
      <c r="C31" s="28"/>
      <c r="D31" s="29"/>
      <c r="E31" s="12"/>
      <c r="F31" s="12"/>
      <c r="G31" s="12"/>
      <c r="H31" s="30"/>
      <c r="I31" s="30"/>
      <c r="J31" s="30"/>
      <c r="K31" s="36"/>
      <c r="L31" s="11"/>
    </row>
    <row r="32" spans="1:15" x14ac:dyDescent="0.2">
      <c r="B32" s="12"/>
      <c r="C32" s="28"/>
      <c r="D32" s="29"/>
      <c r="E32" s="15"/>
      <c r="F32" s="15"/>
      <c r="G32" s="15"/>
      <c r="H32" s="15"/>
      <c r="I32" s="30"/>
      <c r="J32" s="30"/>
      <c r="K32" s="11"/>
      <c r="L32" s="11"/>
    </row>
    <row r="33" spans="2:12" x14ac:dyDescent="0.2">
      <c r="B33" s="12"/>
      <c r="C33" s="28"/>
      <c r="D33" s="29"/>
      <c r="E33" s="12"/>
      <c r="F33" s="11"/>
      <c r="G33" s="11"/>
      <c r="H33" s="11"/>
      <c r="I33" s="30"/>
      <c r="J33" s="30"/>
      <c r="K33" s="11"/>
      <c r="L33" s="39">
        <f>L25+L27+L28+L29</f>
        <v>54.870000000000005</v>
      </c>
    </row>
    <row r="34" spans="2:12" ht="13.5" hidden="1" thickBot="1" x14ac:dyDescent="0.25">
      <c r="B34" s="12"/>
      <c r="C34" s="28"/>
      <c r="D34" s="11" t="s">
        <v>62</v>
      </c>
      <c r="E34" s="31"/>
      <c r="F34" s="31"/>
      <c r="G34" s="31"/>
      <c r="H34" s="32"/>
      <c r="I34" s="11"/>
      <c r="J34" s="30"/>
      <c r="K34" s="11"/>
      <c r="L34" s="33">
        <v>80.53</v>
      </c>
    </row>
    <row r="35" spans="2:12" x14ac:dyDescent="0.2">
      <c r="B35" s="12"/>
      <c r="C35" s="28"/>
      <c r="D35" s="35"/>
      <c r="E35" s="31"/>
      <c r="F35" s="31"/>
      <c r="G35" s="31"/>
      <c r="H35" s="32"/>
      <c r="I35" s="11"/>
      <c r="J35" s="30"/>
      <c r="K35" s="11"/>
      <c r="L35" s="36"/>
    </row>
    <row r="39" spans="2:12" ht="59.65" customHeight="1" x14ac:dyDescent="0.25">
      <c r="C39"/>
      <c r="D39"/>
      <c r="E39"/>
      <c r="F39"/>
      <c r="G39"/>
      <c r="H39"/>
      <c r="I39"/>
      <c r="J39"/>
      <c r="K39"/>
    </row>
  </sheetData>
  <mergeCells count="4">
    <mergeCell ref="I14:J14"/>
    <mergeCell ref="B16:L16"/>
    <mergeCell ref="B17:L17"/>
    <mergeCell ref="J21:K21"/>
  </mergeCells>
  <dataValidations count="1">
    <dataValidation type="list" allowBlank="1" showInputMessage="1" showErrorMessage="1" sqref="C19:D19 F19" xr:uid="{6A300406-F88E-49CD-A367-489C0DAE2A73}">
      <formula1>#REF!</formula1>
    </dataValidation>
  </dataValidations>
  <pageMargins left="0.25" right="0.25" top="0.5" bottom="0.5" header="0.3" footer="0.3"/>
  <pageSetup scale="94" fitToHeight="0" orientation="landscape" r:id="rId1"/>
  <headerFooter differentFirst="1">
    <oddFooter>&amp;L&amp;P</oddFooter>
    <firstFooter>&amp;L&amp;P&amp;C&amp;"Calibri,Bold"YOUR PROMPT PAYMENT WILL BE GREATLY APPRECIATED.
IF ANY OF THESE CLAIMS WERE BILLED IN ERROR, PLEASE EMAIL YVONNE AGUILAR  AT YVONNE.AGUILAR@BANNERHEALTH.COM, SO WE CAN BILL THE PATIENT IN A TIMELY MANNER.  THANK YOU.</first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CB9EF-E91D-4BAB-82D5-396A525C0C0C}">
  <sheetPr>
    <tabColor theme="0"/>
    <pageSetUpPr fitToPage="1"/>
  </sheetPr>
  <dimension ref="A1:O36"/>
  <sheetViews>
    <sheetView topLeftCell="B1" zoomScaleNormal="100" workbookViewId="0">
      <selection activeCell="K34" sqref="K34"/>
    </sheetView>
  </sheetViews>
  <sheetFormatPr defaultColWidth="8.85546875" defaultRowHeight="12.75" x14ac:dyDescent="0.2"/>
  <cols>
    <col min="1" max="1" width="8.85546875" style="2" hidden="1" customWidth="1"/>
    <col min="2" max="2" width="12.85546875" style="2" customWidth="1"/>
    <col min="3" max="3" width="15.85546875" style="2" customWidth="1"/>
    <col min="4" max="4" width="14" style="2" customWidth="1"/>
    <col min="5" max="5" width="18.42578125" style="2" customWidth="1"/>
    <col min="6" max="6" width="19.28515625" style="2" customWidth="1"/>
    <col min="7" max="7" width="11.42578125" style="2" customWidth="1"/>
    <col min="8" max="8" width="8.85546875" style="2"/>
    <col min="9" max="9" width="19.7109375" style="2" customWidth="1"/>
    <col min="10" max="10" width="9.85546875" style="2" customWidth="1"/>
    <col min="11" max="11" width="11.28515625" style="2" customWidth="1"/>
    <col min="12" max="12" width="9.5703125" style="2" customWidth="1"/>
    <col min="13" max="13" width="16" style="2" customWidth="1"/>
    <col min="14" max="16384" width="8.85546875" style="2"/>
  </cols>
  <sheetData>
    <row r="1" spans="2:12" x14ac:dyDescent="0.2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x14ac:dyDescent="0.2">
      <c r="B2" s="1"/>
      <c r="C2" s="1"/>
      <c r="D2" s="1"/>
      <c r="E2" s="1"/>
      <c r="F2" s="1"/>
      <c r="G2" s="37" t="s">
        <v>311</v>
      </c>
      <c r="H2" s="1"/>
      <c r="I2" s="3" t="s">
        <v>0</v>
      </c>
      <c r="J2" s="4" t="s">
        <v>144</v>
      </c>
      <c r="K2" s="1"/>
      <c r="L2" s="1"/>
    </row>
    <row r="3" spans="2:12" x14ac:dyDescent="0.2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2:12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2:12" x14ac:dyDescent="0.2"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2:12" ht="4.9000000000000004" customHeight="1" x14ac:dyDescent="0.2"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2:12" x14ac:dyDescent="0.2">
      <c r="B7" s="3" t="s">
        <v>2</v>
      </c>
      <c r="C7" s="1"/>
      <c r="D7" s="1"/>
      <c r="E7" s="1"/>
      <c r="F7" s="1"/>
      <c r="G7" s="1"/>
      <c r="H7" s="1"/>
      <c r="I7" s="5" t="s">
        <v>3</v>
      </c>
      <c r="J7" s="1"/>
      <c r="K7" s="1"/>
      <c r="L7" s="1"/>
    </row>
    <row r="8" spans="2:12" x14ac:dyDescent="0.2">
      <c r="B8" s="3" t="s">
        <v>4</v>
      </c>
      <c r="C8" s="1"/>
      <c r="D8" s="1"/>
      <c r="E8" s="1"/>
      <c r="F8" s="1"/>
      <c r="G8" s="1"/>
      <c r="H8" s="1"/>
      <c r="I8" s="3" t="s">
        <v>5</v>
      </c>
      <c r="J8" s="1"/>
      <c r="K8" s="1"/>
      <c r="L8" s="1"/>
    </row>
    <row r="9" spans="2:12" x14ac:dyDescent="0.2">
      <c r="B9" s="3" t="s">
        <v>6</v>
      </c>
      <c r="C9" s="1"/>
      <c r="D9" s="1"/>
      <c r="E9" s="1"/>
      <c r="F9" s="1"/>
      <c r="G9" s="1"/>
      <c r="H9" s="1"/>
      <c r="I9" s="3" t="s">
        <v>7</v>
      </c>
      <c r="J9" s="1"/>
      <c r="K9" s="1"/>
      <c r="L9" s="1"/>
    </row>
    <row r="10" spans="2:12" x14ac:dyDescent="0.2">
      <c r="B10" s="3" t="s">
        <v>8</v>
      </c>
      <c r="C10" s="1"/>
      <c r="D10" s="1"/>
      <c r="E10" s="1"/>
      <c r="F10" s="1"/>
      <c r="G10" s="1"/>
      <c r="H10" s="1"/>
      <c r="I10" s="6" t="s">
        <v>9</v>
      </c>
      <c r="J10" s="1"/>
      <c r="K10" s="1"/>
      <c r="L10" s="1"/>
    </row>
    <row r="11" spans="2:12" x14ac:dyDescent="0.2">
      <c r="B11" s="3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2:12" x14ac:dyDescent="0.2">
      <c r="B12" s="3" t="s">
        <v>11</v>
      </c>
      <c r="C12" s="1"/>
      <c r="D12" s="1"/>
      <c r="E12" s="1"/>
      <c r="F12" s="1"/>
      <c r="G12" s="1"/>
      <c r="H12" s="1"/>
      <c r="I12" s="6" t="s">
        <v>12</v>
      </c>
      <c r="J12" s="6" t="s">
        <v>13</v>
      </c>
      <c r="K12" s="6"/>
      <c r="L12" s="1"/>
    </row>
    <row r="13" spans="2:12" ht="4.1500000000000004" customHeight="1" thickBot="1" x14ac:dyDescent="0.25">
      <c r="B13" s="3"/>
      <c r="C13" s="1"/>
      <c r="D13" s="1"/>
      <c r="E13" s="1"/>
      <c r="F13" s="6"/>
      <c r="G13" s="6"/>
      <c r="H13" s="6"/>
      <c r="I13" s="1"/>
      <c r="J13" s="1"/>
      <c r="K13" s="1"/>
      <c r="L13" s="1"/>
    </row>
    <row r="14" spans="2:12" ht="13.5" thickBot="1" x14ac:dyDescent="0.25">
      <c r="B14" s="7"/>
      <c r="C14" s="1"/>
      <c r="D14" s="1"/>
      <c r="E14" s="1"/>
      <c r="F14" s="1"/>
      <c r="G14" s="1"/>
      <c r="H14" s="1"/>
      <c r="I14" s="44" t="s">
        <v>14</v>
      </c>
      <c r="J14" s="45"/>
      <c r="K14" s="8" t="s">
        <v>15</v>
      </c>
      <c r="L14" s="9"/>
    </row>
    <row r="15" spans="2:12" ht="6" customHeight="1" thickBot="1" x14ac:dyDescent="0.25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2:12" ht="19.7" customHeight="1" thickTop="1" x14ac:dyDescent="0.2">
      <c r="B16" s="46" t="s">
        <v>16</v>
      </c>
      <c r="C16" s="46"/>
      <c r="D16" s="46"/>
      <c r="E16" s="46"/>
      <c r="F16" s="46"/>
      <c r="G16" s="46"/>
      <c r="H16" s="46"/>
      <c r="I16" s="46"/>
      <c r="J16" s="46"/>
      <c r="K16" s="46"/>
      <c r="L16" s="46"/>
    </row>
    <row r="17" spans="1:15" ht="15.6" customHeight="1" x14ac:dyDescent="0.2">
      <c r="B17" s="47">
        <v>45838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</row>
    <row r="18" spans="1:15" x14ac:dyDescent="0.2">
      <c r="B18" s="11" t="s">
        <v>307</v>
      </c>
      <c r="C18" s="11" t="s">
        <v>320</v>
      </c>
      <c r="D18" s="11"/>
      <c r="E18" s="12"/>
      <c r="F18" s="12"/>
      <c r="G18" s="11"/>
      <c r="H18" s="11"/>
      <c r="I18" s="1"/>
      <c r="J18" s="11"/>
      <c r="K18" s="11"/>
      <c r="L18" s="11"/>
    </row>
    <row r="19" spans="1:15" x14ac:dyDescent="0.2">
      <c r="A19" s="2" t="s">
        <v>18</v>
      </c>
      <c r="B19" s="11" t="s">
        <v>19</v>
      </c>
      <c r="C19" s="14" t="s">
        <v>145</v>
      </c>
      <c r="D19" s="11"/>
      <c r="E19" s="12"/>
      <c r="F19" s="12"/>
      <c r="G19" s="1"/>
      <c r="H19" s="1"/>
      <c r="I19" s="1"/>
      <c r="J19" s="1"/>
      <c r="K19" s="1"/>
      <c r="L19" s="11"/>
    </row>
    <row r="20" spans="1:15" ht="13.5" thickBot="1" x14ac:dyDescent="0.25">
      <c r="A20" s="2">
        <v>3</v>
      </c>
      <c r="B20" s="11" t="s">
        <v>21</v>
      </c>
      <c r="C20" s="14">
        <v>1773</v>
      </c>
      <c r="D20" s="11"/>
      <c r="E20" s="12"/>
      <c r="F20" s="12"/>
      <c r="G20" s="15"/>
      <c r="H20" s="16"/>
      <c r="I20" s="41" t="s">
        <v>327</v>
      </c>
      <c r="J20" s="11"/>
      <c r="K20" s="11"/>
      <c r="L20" s="11"/>
    </row>
    <row r="21" spans="1:15" ht="13.9" customHeight="1" thickBot="1" x14ac:dyDescent="0.25">
      <c r="A21" s="2" t="s">
        <v>22</v>
      </c>
      <c r="B21" s="11" t="s">
        <v>23</v>
      </c>
      <c r="C21" s="14">
        <v>4265530</v>
      </c>
      <c r="E21" s="12"/>
      <c r="F21" s="12"/>
      <c r="G21" s="15"/>
      <c r="H21" s="16"/>
      <c r="I21" s="17" t="s">
        <v>24</v>
      </c>
      <c r="J21" s="48">
        <f>L31</f>
        <v>78.45</v>
      </c>
      <c r="K21" s="49"/>
      <c r="L21" s="11"/>
    </row>
    <row r="22" spans="1:15" x14ac:dyDescent="0.2">
      <c r="A22" s="2">
        <v>0</v>
      </c>
      <c r="B22" s="11" t="s">
        <v>26</v>
      </c>
      <c r="C22" s="14" t="s">
        <v>27</v>
      </c>
      <c r="D22" s="11"/>
      <c r="E22" s="12"/>
      <c r="F22" s="12"/>
      <c r="G22" s="12"/>
      <c r="H22" s="11"/>
      <c r="I22" s="11"/>
      <c r="J22" s="11"/>
      <c r="K22" s="11"/>
      <c r="L22" s="11"/>
    </row>
    <row r="23" spans="1:15" ht="4.1500000000000004" customHeight="1" x14ac:dyDescent="0.2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</row>
    <row r="24" spans="1:15" s="20" customFormat="1" ht="22.5" x14ac:dyDescent="0.2">
      <c r="A24" s="18" t="s">
        <v>28</v>
      </c>
      <c r="B24" s="19" t="s">
        <v>29</v>
      </c>
      <c r="C24" s="19" t="s">
        <v>30</v>
      </c>
      <c r="D24" s="19" t="s">
        <v>31</v>
      </c>
      <c r="E24" s="19" t="s">
        <v>32</v>
      </c>
      <c r="F24" s="19" t="s">
        <v>33</v>
      </c>
      <c r="G24" s="19" t="s">
        <v>34</v>
      </c>
      <c r="H24" s="19" t="s">
        <v>35</v>
      </c>
      <c r="I24" s="19" t="s">
        <v>36</v>
      </c>
      <c r="J24" s="19" t="s">
        <v>37</v>
      </c>
      <c r="K24" s="19" t="s">
        <v>38</v>
      </c>
      <c r="L24" s="19" t="s">
        <v>39</v>
      </c>
      <c r="M24" s="20" t="s">
        <v>321</v>
      </c>
    </row>
    <row r="25" spans="1:15" ht="22.5" x14ac:dyDescent="0.2">
      <c r="A25" s="21">
        <v>155</v>
      </c>
      <c r="B25" s="22">
        <v>483</v>
      </c>
      <c r="C25" s="23" t="s">
        <v>146</v>
      </c>
      <c r="D25" s="24">
        <v>67811661</v>
      </c>
      <c r="E25" s="25" t="s">
        <v>147</v>
      </c>
      <c r="F25" s="26">
        <v>45813</v>
      </c>
      <c r="G25" s="25">
        <v>3086303</v>
      </c>
      <c r="H25" s="23" t="s">
        <v>52</v>
      </c>
      <c r="I25" s="25" t="s">
        <v>53</v>
      </c>
      <c r="J25" s="27">
        <v>87</v>
      </c>
      <c r="K25" s="27">
        <v>80.989999999999995</v>
      </c>
      <c r="L25" s="27">
        <v>6.01</v>
      </c>
      <c r="M25" s="2" t="s">
        <v>309</v>
      </c>
      <c r="N25" s="34"/>
      <c r="O25" s="34"/>
    </row>
    <row r="26" spans="1:15" ht="22.5" x14ac:dyDescent="0.2">
      <c r="A26" s="21">
        <v>156</v>
      </c>
      <c r="B26" s="22">
        <v>483</v>
      </c>
      <c r="C26" s="23" t="s">
        <v>146</v>
      </c>
      <c r="D26" s="24">
        <v>67811661</v>
      </c>
      <c r="E26" s="25" t="s">
        <v>147</v>
      </c>
      <c r="F26" s="26">
        <v>45813</v>
      </c>
      <c r="G26" s="25">
        <v>3086428</v>
      </c>
      <c r="H26" s="23" t="s">
        <v>54</v>
      </c>
      <c r="I26" s="25" t="s">
        <v>55</v>
      </c>
      <c r="J26" s="27">
        <v>82</v>
      </c>
      <c r="K26" s="27">
        <v>73.59</v>
      </c>
      <c r="L26" s="27">
        <v>8.41</v>
      </c>
      <c r="M26" s="2" t="s">
        <v>309</v>
      </c>
      <c r="N26" s="34"/>
      <c r="O26" s="34"/>
    </row>
    <row r="27" spans="1:15" ht="22.5" x14ac:dyDescent="0.2">
      <c r="A27" s="21">
        <v>157</v>
      </c>
      <c r="B27" s="22">
        <v>483</v>
      </c>
      <c r="C27" s="23" t="s">
        <v>146</v>
      </c>
      <c r="D27" s="24">
        <v>67811661</v>
      </c>
      <c r="E27" s="25" t="s">
        <v>147</v>
      </c>
      <c r="F27" s="26">
        <v>45813</v>
      </c>
      <c r="G27" s="25">
        <v>7301021</v>
      </c>
      <c r="H27" s="23" t="s">
        <v>56</v>
      </c>
      <c r="I27" s="25" t="s">
        <v>57</v>
      </c>
      <c r="J27" s="27">
        <v>189</v>
      </c>
      <c r="K27" s="27">
        <v>124.97</v>
      </c>
      <c r="L27" s="27">
        <v>64.03</v>
      </c>
      <c r="M27" s="2" t="s">
        <v>309</v>
      </c>
      <c r="N27" s="34"/>
      <c r="O27" s="34"/>
    </row>
    <row r="28" spans="1:15" x14ac:dyDescent="0.2">
      <c r="B28" s="12"/>
      <c r="C28" s="28"/>
      <c r="D28" s="29"/>
      <c r="E28" s="12"/>
      <c r="F28" s="12"/>
      <c r="G28" s="12"/>
      <c r="H28" s="30"/>
      <c r="I28" s="30"/>
      <c r="J28" s="30"/>
      <c r="K28" s="36"/>
      <c r="L28" s="11"/>
    </row>
    <row r="29" spans="1:15" x14ac:dyDescent="0.2">
      <c r="B29" s="12"/>
      <c r="C29" s="28"/>
      <c r="D29" s="29"/>
      <c r="E29" s="15"/>
      <c r="F29" s="15"/>
      <c r="G29" s="15"/>
      <c r="H29" s="15"/>
      <c r="I29" s="30"/>
      <c r="J29" s="30"/>
      <c r="K29" s="11"/>
      <c r="L29" s="11"/>
    </row>
    <row r="30" spans="1:15" x14ac:dyDescent="0.2">
      <c r="B30" s="12"/>
      <c r="C30" s="28"/>
      <c r="D30" s="29"/>
      <c r="E30" s="12"/>
      <c r="F30" s="11"/>
      <c r="G30" s="11"/>
      <c r="H30" s="11"/>
      <c r="I30" s="30"/>
      <c r="J30" s="30"/>
      <c r="K30" s="11"/>
      <c r="L30" s="11"/>
    </row>
    <row r="31" spans="1:15" ht="13.5" thickBot="1" x14ac:dyDescent="0.25">
      <c r="B31" s="12"/>
      <c r="C31" s="28"/>
      <c r="D31" s="11" t="s">
        <v>62</v>
      </c>
      <c r="E31" s="31"/>
      <c r="F31" s="31"/>
      <c r="G31" s="31"/>
      <c r="H31" s="32"/>
      <c r="I31" s="11"/>
      <c r="J31" s="30"/>
      <c r="K31" s="11"/>
      <c r="L31" s="33">
        <f>SUM(L25:L27)</f>
        <v>78.45</v>
      </c>
    </row>
    <row r="32" spans="1:15" ht="13.5" thickTop="1" x14ac:dyDescent="0.2">
      <c r="B32" s="12"/>
      <c r="C32" s="28"/>
      <c r="D32" s="35"/>
      <c r="E32" s="31"/>
      <c r="F32" s="31"/>
      <c r="G32" s="31"/>
      <c r="H32" s="32"/>
      <c r="I32" s="11"/>
      <c r="J32" s="30"/>
      <c r="K32" s="11"/>
      <c r="L32" s="36"/>
    </row>
    <row r="36" spans="3:11" ht="59.65" customHeight="1" x14ac:dyDescent="0.25">
      <c r="C36"/>
      <c r="D36"/>
      <c r="E36"/>
      <c r="F36"/>
      <c r="G36"/>
      <c r="H36"/>
      <c r="I36"/>
      <c r="J36"/>
      <c r="K36"/>
    </row>
  </sheetData>
  <mergeCells count="4">
    <mergeCell ref="I14:J14"/>
    <mergeCell ref="B16:L16"/>
    <mergeCell ref="B17:L17"/>
    <mergeCell ref="J21:K21"/>
  </mergeCells>
  <dataValidations count="1">
    <dataValidation type="list" allowBlank="1" showInputMessage="1" showErrorMessage="1" sqref="C19:D19" xr:uid="{9A2F1D88-4724-4353-BC9C-5FE49FDBC5C7}">
      <formula1>#REF!</formula1>
    </dataValidation>
  </dataValidations>
  <pageMargins left="0.25" right="0.25" top="0.5" bottom="0.5" header="0.3" footer="0.3"/>
  <pageSetup fitToHeight="0" orientation="landscape" r:id="rId1"/>
  <headerFooter differentFirst="1">
    <oddFooter>&amp;L&amp;P</oddFooter>
    <firstFooter>&amp;L&amp;P&amp;C&amp;"Calibri,Bold"YOUR PROMPT PAYMENT WILL BE GREATLY APPRECIATED.
IF ANY OF THESE CLAIMS WERE BILLED IN ERROR, PLEASE EMAIL YVONNE AGUILAR  AT YVONNE.AGUILAR@BANNERHEALTH.COM, SO WE CAN BILL THE PATIENT IN A TIMELY MANNER.  THANK YOU.</first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03F47-6B5C-4FE4-B211-437E82E55E60}">
  <sheetPr>
    <tabColor theme="0"/>
    <pageSetUpPr fitToPage="1"/>
  </sheetPr>
  <dimension ref="A1:O34"/>
  <sheetViews>
    <sheetView topLeftCell="B1" zoomScaleNormal="100" workbookViewId="0">
      <selection activeCell="H34" sqref="H34"/>
    </sheetView>
  </sheetViews>
  <sheetFormatPr defaultColWidth="8.85546875" defaultRowHeight="12.75" x14ac:dyDescent="0.2"/>
  <cols>
    <col min="1" max="1" width="8.85546875" style="2" hidden="1" customWidth="1"/>
    <col min="2" max="2" width="13.28515625" style="2" customWidth="1"/>
    <col min="3" max="3" width="14.5703125" style="2" hidden="1" customWidth="1"/>
    <col min="4" max="4" width="14" style="2" customWidth="1"/>
    <col min="5" max="5" width="18.42578125" style="2" hidden="1" customWidth="1"/>
    <col min="6" max="7" width="11.42578125" style="2" customWidth="1"/>
    <col min="8" max="8" width="8.85546875" style="2"/>
    <col min="9" max="9" width="19.7109375" style="2" customWidth="1"/>
    <col min="10" max="10" width="10.28515625" style="2" customWidth="1"/>
    <col min="11" max="11" width="11.85546875" style="2" customWidth="1"/>
    <col min="12" max="12" width="9.5703125" style="2" customWidth="1"/>
    <col min="13" max="13" width="11.7109375" style="2" customWidth="1"/>
    <col min="14" max="16384" width="8.85546875" style="2"/>
  </cols>
  <sheetData>
    <row r="1" spans="2:12" x14ac:dyDescent="0.2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x14ac:dyDescent="0.2">
      <c r="B2" s="1"/>
      <c r="C2" s="1"/>
      <c r="D2" s="1"/>
      <c r="E2" s="1"/>
      <c r="F2" s="1"/>
      <c r="G2" s="37" t="s">
        <v>311</v>
      </c>
      <c r="H2" s="1"/>
      <c r="I2" s="3" t="s">
        <v>0</v>
      </c>
      <c r="J2" s="4" t="s">
        <v>148</v>
      </c>
      <c r="K2" s="1"/>
      <c r="L2" s="1"/>
    </row>
    <row r="3" spans="2:12" x14ac:dyDescent="0.2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2:12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2:12" x14ac:dyDescent="0.2"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2:12" ht="4.9000000000000004" customHeight="1" x14ac:dyDescent="0.2"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2:12" x14ac:dyDescent="0.2">
      <c r="B7" s="3" t="s">
        <v>2</v>
      </c>
      <c r="C7" s="1"/>
      <c r="D7" s="1"/>
      <c r="E7" s="1"/>
      <c r="F7" s="1"/>
      <c r="G7" s="1"/>
      <c r="H7" s="1"/>
      <c r="I7" s="5" t="s">
        <v>3</v>
      </c>
      <c r="J7" s="1"/>
      <c r="K7" s="1"/>
      <c r="L7" s="1"/>
    </row>
    <row r="8" spans="2:12" x14ac:dyDescent="0.2">
      <c r="B8" s="3" t="s">
        <v>4</v>
      </c>
      <c r="C8" s="1"/>
      <c r="D8" s="1"/>
      <c r="E8" s="1"/>
      <c r="F8" s="1"/>
      <c r="G8" s="1"/>
      <c r="H8" s="1"/>
      <c r="I8" s="3" t="s">
        <v>5</v>
      </c>
      <c r="J8" s="1"/>
      <c r="K8" s="1"/>
      <c r="L8" s="1"/>
    </row>
    <row r="9" spans="2:12" x14ac:dyDescent="0.2">
      <c r="B9" s="3" t="s">
        <v>6</v>
      </c>
      <c r="C9" s="1"/>
      <c r="D9" s="1"/>
      <c r="E9" s="1"/>
      <c r="F9" s="1"/>
      <c r="G9" s="1"/>
      <c r="H9" s="1"/>
      <c r="I9" s="3" t="s">
        <v>7</v>
      </c>
      <c r="J9" s="1"/>
      <c r="K9" s="1"/>
      <c r="L9" s="1"/>
    </row>
    <row r="10" spans="2:12" x14ac:dyDescent="0.2">
      <c r="B10" s="3" t="s">
        <v>8</v>
      </c>
      <c r="C10" s="1"/>
      <c r="D10" s="1"/>
      <c r="E10" s="1"/>
      <c r="F10" s="1"/>
      <c r="G10" s="1"/>
      <c r="H10" s="1"/>
      <c r="I10" s="6" t="s">
        <v>9</v>
      </c>
      <c r="J10" s="1"/>
      <c r="K10" s="1"/>
      <c r="L10" s="1"/>
    </row>
    <row r="11" spans="2:12" x14ac:dyDescent="0.2">
      <c r="B11" s="3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2:12" x14ac:dyDescent="0.2">
      <c r="B12" s="3" t="s">
        <v>11</v>
      </c>
      <c r="C12" s="1"/>
      <c r="D12" s="1"/>
      <c r="E12" s="1"/>
      <c r="F12" s="1"/>
      <c r="G12" s="1"/>
      <c r="H12" s="1"/>
      <c r="I12" s="6" t="s">
        <v>12</v>
      </c>
      <c r="J12" s="6" t="s">
        <v>13</v>
      </c>
      <c r="K12" s="6"/>
      <c r="L12" s="1"/>
    </row>
    <row r="13" spans="2:12" ht="4.1500000000000004" customHeight="1" thickBot="1" x14ac:dyDescent="0.25">
      <c r="B13" s="3"/>
      <c r="C13" s="1"/>
      <c r="D13" s="1"/>
      <c r="E13" s="1"/>
      <c r="F13" s="6"/>
      <c r="G13" s="6"/>
      <c r="H13" s="6"/>
      <c r="I13" s="1"/>
      <c r="J13" s="1"/>
      <c r="K13" s="1"/>
      <c r="L13" s="1"/>
    </row>
    <row r="14" spans="2:12" ht="13.5" thickBot="1" x14ac:dyDescent="0.25">
      <c r="B14" s="7"/>
      <c r="C14" s="1"/>
      <c r="D14" s="1"/>
      <c r="E14" s="1"/>
      <c r="F14" s="1"/>
      <c r="G14" s="1"/>
      <c r="H14" s="1"/>
      <c r="I14" s="44" t="s">
        <v>14</v>
      </c>
      <c r="J14" s="45"/>
      <c r="K14" s="8" t="s">
        <v>15</v>
      </c>
      <c r="L14" s="9"/>
    </row>
    <row r="15" spans="2:12" ht="6" customHeight="1" thickBot="1" x14ac:dyDescent="0.25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2:12" ht="19.7" customHeight="1" thickTop="1" x14ac:dyDescent="0.2">
      <c r="B16" s="46" t="s">
        <v>16</v>
      </c>
      <c r="C16" s="46"/>
      <c r="D16" s="46"/>
      <c r="E16" s="46"/>
      <c r="F16" s="46"/>
      <c r="G16" s="46"/>
      <c r="H16" s="46"/>
      <c r="I16" s="46"/>
      <c r="J16" s="46"/>
      <c r="K16" s="46"/>
      <c r="L16" s="46"/>
    </row>
    <row r="17" spans="1:15" ht="15.6" customHeight="1" x14ac:dyDescent="0.2">
      <c r="B17" s="47">
        <v>45838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</row>
    <row r="18" spans="1:15" x14ac:dyDescent="0.2">
      <c r="B18" s="11" t="s">
        <v>307</v>
      </c>
      <c r="C18" s="11" t="s">
        <v>329</v>
      </c>
      <c r="D18" s="11" t="s">
        <v>329</v>
      </c>
      <c r="E18" s="12"/>
      <c r="F18" s="11"/>
      <c r="G18" s="11"/>
      <c r="H18" s="11"/>
      <c r="I18" s="1"/>
      <c r="J18" s="11"/>
      <c r="K18" s="11"/>
      <c r="L18" s="11"/>
    </row>
    <row r="19" spans="1:15" x14ac:dyDescent="0.2">
      <c r="A19" s="2" t="s">
        <v>18</v>
      </c>
      <c r="B19" s="11" t="s">
        <v>19</v>
      </c>
      <c r="C19" s="14" t="s">
        <v>149</v>
      </c>
      <c r="D19" s="14" t="s">
        <v>149</v>
      </c>
      <c r="E19" s="12"/>
      <c r="F19" s="1"/>
      <c r="G19" s="1"/>
      <c r="H19" s="1"/>
      <c r="I19" s="1"/>
      <c r="J19" s="1"/>
      <c r="K19" s="1"/>
      <c r="L19" s="11"/>
    </row>
    <row r="20" spans="1:15" ht="13.5" thickBot="1" x14ac:dyDescent="0.25">
      <c r="A20" s="2">
        <v>1</v>
      </c>
      <c r="B20" s="11" t="s">
        <v>21</v>
      </c>
      <c r="C20" s="14">
        <v>2822</v>
      </c>
      <c r="D20" s="14">
        <v>2822</v>
      </c>
      <c r="E20" s="12"/>
      <c r="F20" s="15"/>
      <c r="G20" s="15"/>
      <c r="H20" s="16"/>
      <c r="I20" s="16" t="s">
        <v>333</v>
      </c>
      <c r="J20" s="11"/>
      <c r="K20" s="11"/>
      <c r="L20" s="11"/>
    </row>
    <row r="21" spans="1:15" ht="13.9" customHeight="1" thickBot="1" x14ac:dyDescent="0.25">
      <c r="A21" s="2" t="s">
        <v>22</v>
      </c>
      <c r="B21" s="11" t="s">
        <v>23</v>
      </c>
      <c r="C21" s="14" t="s">
        <v>328</v>
      </c>
      <c r="D21" s="14" t="s">
        <v>328</v>
      </c>
      <c r="E21" s="12"/>
      <c r="F21" s="15"/>
      <c r="G21" s="15"/>
      <c r="H21" s="16"/>
      <c r="I21" s="17" t="s">
        <v>24</v>
      </c>
      <c r="J21" s="48">
        <f>L29</f>
        <v>9.02</v>
      </c>
      <c r="K21" s="49"/>
      <c r="L21" s="11"/>
    </row>
    <row r="22" spans="1:15" x14ac:dyDescent="0.2">
      <c r="A22" s="2">
        <v>0</v>
      </c>
      <c r="B22" s="11" t="s">
        <v>26</v>
      </c>
      <c r="C22" s="14" t="s">
        <v>150</v>
      </c>
      <c r="D22" s="14" t="s">
        <v>150</v>
      </c>
      <c r="E22" s="12"/>
      <c r="F22" s="12"/>
      <c r="G22" s="12"/>
      <c r="H22" s="11"/>
      <c r="I22" s="11"/>
      <c r="J22" s="11"/>
      <c r="K22" s="11"/>
      <c r="L22" s="11"/>
    </row>
    <row r="23" spans="1:15" ht="4.1500000000000004" customHeight="1" x14ac:dyDescent="0.2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</row>
    <row r="24" spans="1:15" s="20" customFormat="1" ht="25.5" x14ac:dyDescent="0.2">
      <c r="A24" s="18" t="s">
        <v>28</v>
      </c>
      <c r="B24" s="19" t="s">
        <v>29</v>
      </c>
      <c r="C24" s="19" t="s">
        <v>30</v>
      </c>
      <c r="D24" s="19" t="s">
        <v>31</v>
      </c>
      <c r="E24" s="19" t="s">
        <v>32</v>
      </c>
      <c r="F24" s="19" t="s">
        <v>33</v>
      </c>
      <c r="G24" s="19" t="s">
        <v>34</v>
      </c>
      <c r="H24" s="19" t="s">
        <v>35</v>
      </c>
      <c r="I24" s="19" t="s">
        <v>36</v>
      </c>
      <c r="J24" s="19" t="s">
        <v>37</v>
      </c>
      <c r="K24" s="19" t="s">
        <v>38</v>
      </c>
      <c r="L24" s="19" t="s">
        <v>39</v>
      </c>
      <c r="M24" s="43" t="s">
        <v>330</v>
      </c>
    </row>
    <row r="25" spans="1:15" ht="22.5" x14ac:dyDescent="0.2">
      <c r="A25" s="21">
        <v>187</v>
      </c>
      <c r="B25" s="22">
        <v>483</v>
      </c>
      <c r="C25" s="23" t="s">
        <v>151</v>
      </c>
      <c r="D25" s="24">
        <v>67817098</v>
      </c>
      <c r="E25" s="25" t="s">
        <v>152</v>
      </c>
      <c r="F25" s="26">
        <v>45820</v>
      </c>
      <c r="G25" s="25">
        <v>3076254</v>
      </c>
      <c r="H25" s="23" t="s">
        <v>46</v>
      </c>
      <c r="I25" s="25" t="s">
        <v>47</v>
      </c>
      <c r="J25" s="27">
        <v>93</v>
      </c>
      <c r="K25" s="27">
        <v>83.98</v>
      </c>
      <c r="L25" s="27">
        <v>9.02</v>
      </c>
      <c r="M25" s="2" t="s">
        <v>309</v>
      </c>
      <c r="N25" s="34"/>
      <c r="O25" s="34"/>
    </row>
    <row r="26" spans="1:15" x14ac:dyDescent="0.2">
      <c r="B26" s="12"/>
      <c r="C26" s="28"/>
      <c r="D26" s="29"/>
      <c r="E26" s="12"/>
      <c r="F26" s="12"/>
      <c r="G26" s="12"/>
      <c r="H26" s="30"/>
      <c r="I26" s="30"/>
      <c r="J26" s="30"/>
      <c r="K26" s="36"/>
      <c r="L26" s="11"/>
    </row>
    <row r="27" spans="1:15" x14ac:dyDescent="0.2">
      <c r="B27" s="12"/>
      <c r="C27" s="28"/>
      <c r="D27" s="29"/>
      <c r="E27" s="15"/>
      <c r="F27" s="15"/>
      <c r="G27" s="15"/>
      <c r="H27" s="15"/>
      <c r="I27" s="30"/>
      <c r="J27" s="30"/>
      <c r="K27" s="11"/>
      <c r="L27" s="11"/>
    </row>
    <row r="28" spans="1:15" x14ac:dyDescent="0.2">
      <c r="B28" s="12"/>
      <c r="C28" s="28"/>
      <c r="D28" s="29"/>
      <c r="E28" s="12"/>
      <c r="F28" s="11"/>
      <c r="G28" s="11"/>
      <c r="H28" s="11"/>
      <c r="I28" s="30"/>
      <c r="J28" s="30"/>
      <c r="K28" s="11"/>
      <c r="L28" s="11"/>
    </row>
    <row r="29" spans="1:15" ht="13.5" thickBot="1" x14ac:dyDescent="0.25">
      <c r="B29" s="12"/>
      <c r="C29" s="28"/>
      <c r="D29" s="11" t="s">
        <v>62</v>
      </c>
      <c r="E29" s="31"/>
      <c r="F29" s="31"/>
      <c r="G29" s="31"/>
      <c r="H29" s="32"/>
      <c r="I29" s="11"/>
      <c r="J29" s="30"/>
      <c r="K29" s="11"/>
      <c r="L29" s="33">
        <v>9.02</v>
      </c>
    </row>
    <row r="30" spans="1:15" ht="13.5" thickTop="1" x14ac:dyDescent="0.2">
      <c r="B30" s="12"/>
      <c r="C30" s="28"/>
      <c r="D30" s="35"/>
      <c r="E30" s="31"/>
      <c r="F30" s="31"/>
      <c r="G30" s="31"/>
      <c r="H30" s="32"/>
      <c r="I30" s="11"/>
      <c r="J30" s="30"/>
      <c r="K30" s="11"/>
      <c r="L30" s="36"/>
    </row>
    <row r="34" spans="3:11" ht="59.65" customHeight="1" x14ac:dyDescent="0.25">
      <c r="C34"/>
      <c r="D34"/>
      <c r="E34"/>
      <c r="F34"/>
      <c r="G34"/>
      <c r="H34"/>
      <c r="I34"/>
      <c r="J34"/>
      <c r="K34"/>
    </row>
  </sheetData>
  <mergeCells count="4">
    <mergeCell ref="I14:J14"/>
    <mergeCell ref="B16:L16"/>
    <mergeCell ref="B17:L17"/>
    <mergeCell ref="J21:K21"/>
  </mergeCells>
  <dataValidations count="1">
    <dataValidation type="list" allowBlank="1" showInputMessage="1" showErrorMessage="1" sqref="C19:D19" xr:uid="{652F53B0-9B85-4E8C-B4BB-0AFD75C66F81}">
      <formula1>#REF!</formula1>
    </dataValidation>
  </dataValidations>
  <pageMargins left="0.25" right="0.25" top="0.5" bottom="0.5" header="0.3" footer="0.3"/>
  <pageSetup fitToHeight="0" orientation="landscape" r:id="rId1"/>
  <headerFooter differentFirst="1">
    <oddFooter>&amp;L&amp;P</oddFooter>
    <firstFooter>&amp;L&amp;P&amp;C&amp;"Calibri,Bold"YOUR PROMPT PAYMENT WILL BE GREATLY APPRECIATED.
IF ANY OF THESE CLAIMS WERE BILLED IN ERROR, PLEASE EMAIL YVONNE AGUILAR  AT YVONNE.AGUILAR@BANNERHEALTH.COM, SO WE CAN BILL THE PATIENT IN A TIMELY MANNER.  THANK YOU.</first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877E7-FE5B-41D6-AF39-3F8B2FD4DF6B}">
  <sheetPr>
    <tabColor theme="0"/>
    <pageSetUpPr fitToPage="1"/>
  </sheetPr>
  <dimension ref="A1:O53"/>
  <sheetViews>
    <sheetView topLeftCell="B1" zoomScaleNormal="100" workbookViewId="0">
      <selection activeCell="M18" sqref="M18"/>
    </sheetView>
  </sheetViews>
  <sheetFormatPr defaultColWidth="8.85546875" defaultRowHeight="12.75" x14ac:dyDescent="0.2"/>
  <cols>
    <col min="1" max="1" width="8.85546875" style="2" hidden="1" customWidth="1"/>
    <col min="2" max="2" width="13.28515625" style="2" customWidth="1"/>
    <col min="3" max="3" width="14.5703125" style="2" hidden="1" customWidth="1"/>
    <col min="4" max="4" width="14" style="2" customWidth="1"/>
    <col min="5" max="5" width="18.42578125" style="2" hidden="1" customWidth="1"/>
    <col min="6" max="7" width="11.42578125" style="2" customWidth="1"/>
    <col min="8" max="8" width="8.85546875" style="2"/>
    <col min="9" max="9" width="19.7109375" style="2" customWidth="1"/>
    <col min="10" max="10" width="10.28515625" style="2" customWidth="1"/>
    <col min="11" max="11" width="11.85546875" style="2" customWidth="1"/>
    <col min="12" max="12" width="9.5703125" style="2" customWidth="1"/>
    <col min="13" max="13" width="16.85546875" style="2" customWidth="1"/>
    <col min="14" max="16384" width="8.85546875" style="2"/>
  </cols>
  <sheetData>
    <row r="1" spans="2:12" x14ac:dyDescent="0.2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x14ac:dyDescent="0.2">
      <c r="B2" s="1"/>
      <c r="C2" s="1"/>
      <c r="D2" s="1"/>
      <c r="E2" s="1"/>
      <c r="F2" s="1"/>
      <c r="G2" s="37" t="s">
        <v>311</v>
      </c>
      <c r="H2" s="1"/>
      <c r="I2" s="3" t="s">
        <v>0</v>
      </c>
      <c r="J2" s="4" t="s">
        <v>153</v>
      </c>
      <c r="K2" s="1"/>
      <c r="L2" s="1"/>
    </row>
    <row r="3" spans="2:12" x14ac:dyDescent="0.2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2:12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2:12" x14ac:dyDescent="0.2"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2:12" ht="4.9000000000000004" customHeight="1" x14ac:dyDescent="0.2"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2:12" x14ac:dyDescent="0.2">
      <c r="B7" s="3" t="s">
        <v>2</v>
      </c>
      <c r="C7" s="1"/>
      <c r="D7" s="1"/>
      <c r="E7" s="1"/>
      <c r="F7" s="1"/>
      <c r="G7" s="1"/>
      <c r="H7" s="1"/>
      <c r="I7" s="5" t="s">
        <v>3</v>
      </c>
      <c r="J7" s="1"/>
      <c r="K7" s="1"/>
      <c r="L7" s="1"/>
    </row>
    <row r="8" spans="2:12" x14ac:dyDescent="0.2">
      <c r="B8" s="3" t="s">
        <v>4</v>
      </c>
      <c r="C8" s="1"/>
      <c r="D8" s="1"/>
      <c r="E8" s="1"/>
      <c r="F8" s="1"/>
      <c r="G8" s="1"/>
      <c r="H8" s="1"/>
      <c r="I8" s="3" t="s">
        <v>5</v>
      </c>
      <c r="J8" s="1"/>
      <c r="K8" s="1"/>
      <c r="L8" s="1"/>
    </row>
    <row r="9" spans="2:12" x14ac:dyDescent="0.2">
      <c r="B9" s="3" t="s">
        <v>6</v>
      </c>
      <c r="C9" s="1"/>
      <c r="D9" s="1"/>
      <c r="E9" s="1"/>
      <c r="F9" s="1"/>
      <c r="G9" s="1"/>
      <c r="H9" s="1"/>
      <c r="I9" s="3" t="s">
        <v>7</v>
      </c>
      <c r="J9" s="1"/>
      <c r="K9" s="1"/>
      <c r="L9" s="1"/>
    </row>
    <row r="10" spans="2:12" x14ac:dyDescent="0.2">
      <c r="B10" s="3" t="s">
        <v>8</v>
      </c>
      <c r="C10" s="1"/>
      <c r="D10" s="1"/>
      <c r="E10" s="1"/>
      <c r="F10" s="1"/>
      <c r="G10" s="1"/>
      <c r="H10" s="1"/>
      <c r="I10" s="6" t="s">
        <v>9</v>
      </c>
      <c r="J10" s="1"/>
      <c r="K10" s="1"/>
      <c r="L10" s="1"/>
    </row>
    <row r="11" spans="2:12" x14ac:dyDescent="0.2">
      <c r="B11" s="3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2:12" x14ac:dyDescent="0.2">
      <c r="B12" s="3" t="s">
        <v>11</v>
      </c>
      <c r="C12" s="1"/>
      <c r="D12" s="1"/>
      <c r="E12" s="1"/>
      <c r="F12" s="1"/>
      <c r="G12" s="1"/>
      <c r="H12" s="1"/>
      <c r="I12" s="6" t="s">
        <v>12</v>
      </c>
      <c r="J12" s="6" t="s">
        <v>13</v>
      </c>
      <c r="K12" s="6"/>
      <c r="L12" s="1"/>
    </row>
    <row r="13" spans="2:12" ht="4.1500000000000004" customHeight="1" thickBot="1" x14ac:dyDescent="0.25">
      <c r="B13" s="3"/>
      <c r="C13" s="1"/>
      <c r="D13" s="1"/>
      <c r="E13" s="1"/>
      <c r="F13" s="6"/>
      <c r="G13" s="6"/>
      <c r="H13" s="6"/>
      <c r="I13" s="1"/>
      <c r="J13" s="1"/>
      <c r="K13" s="1"/>
      <c r="L13" s="1"/>
    </row>
    <row r="14" spans="2:12" ht="13.5" thickBot="1" x14ac:dyDescent="0.25">
      <c r="B14" s="7"/>
      <c r="C14" s="1"/>
      <c r="D14" s="1"/>
      <c r="E14" s="1"/>
      <c r="F14" s="1"/>
      <c r="G14" s="1"/>
      <c r="H14" s="1"/>
      <c r="I14" s="44" t="s">
        <v>14</v>
      </c>
      <c r="J14" s="45"/>
      <c r="K14" s="8" t="s">
        <v>15</v>
      </c>
      <c r="L14" s="9"/>
    </row>
    <row r="15" spans="2:12" ht="6" customHeight="1" thickBot="1" x14ac:dyDescent="0.25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2:12" ht="19.7" customHeight="1" thickTop="1" x14ac:dyDescent="0.2">
      <c r="B16" s="46" t="s">
        <v>16</v>
      </c>
      <c r="C16" s="46"/>
      <c r="D16" s="46"/>
      <c r="E16" s="46"/>
      <c r="F16" s="46"/>
      <c r="G16" s="46"/>
      <c r="H16" s="46"/>
      <c r="I16" s="46"/>
      <c r="J16" s="46"/>
      <c r="K16" s="46"/>
      <c r="L16" s="46"/>
    </row>
    <row r="17" spans="1:15" ht="15.6" customHeight="1" x14ac:dyDescent="0.2">
      <c r="B17" s="47">
        <v>45838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</row>
    <row r="18" spans="1:15" x14ac:dyDescent="0.2">
      <c r="B18" s="11" t="s">
        <v>314</v>
      </c>
      <c r="C18" s="11" t="s">
        <v>308</v>
      </c>
      <c r="D18" s="11" t="s">
        <v>308</v>
      </c>
      <c r="E18" s="12"/>
      <c r="F18" s="11"/>
      <c r="G18" s="11"/>
      <c r="H18" s="11"/>
      <c r="I18" s="1"/>
      <c r="J18" s="11"/>
      <c r="K18" s="11"/>
      <c r="L18" s="11"/>
    </row>
    <row r="19" spans="1:15" x14ac:dyDescent="0.2">
      <c r="A19" s="2" t="s">
        <v>18</v>
      </c>
      <c r="B19" s="11" t="s">
        <v>19</v>
      </c>
      <c r="C19" s="14" t="s">
        <v>154</v>
      </c>
      <c r="D19" s="14" t="s">
        <v>154</v>
      </c>
      <c r="E19" s="12"/>
      <c r="F19" s="1"/>
      <c r="G19" s="1"/>
      <c r="H19" s="1"/>
      <c r="I19" s="1"/>
      <c r="J19" s="1"/>
      <c r="K19" s="1"/>
      <c r="L19" s="11"/>
    </row>
    <row r="20" spans="1:15" ht="13.5" thickBot="1" x14ac:dyDescent="0.25">
      <c r="A20" s="2">
        <v>20</v>
      </c>
      <c r="B20" s="11" t="s">
        <v>21</v>
      </c>
      <c r="C20" s="14">
        <v>3612</v>
      </c>
      <c r="D20" s="14">
        <v>3612</v>
      </c>
      <c r="E20" s="12"/>
      <c r="F20" s="15"/>
      <c r="G20" s="15"/>
      <c r="H20" s="16"/>
      <c r="I20" s="16" t="s">
        <v>332</v>
      </c>
      <c r="J20" s="11"/>
      <c r="K20" s="11"/>
      <c r="L20" s="11"/>
    </row>
    <row r="21" spans="1:15" ht="13.9" customHeight="1" thickBot="1" x14ac:dyDescent="0.25">
      <c r="A21" s="2" t="s">
        <v>22</v>
      </c>
      <c r="B21" s="11" t="s">
        <v>23</v>
      </c>
      <c r="C21" s="14">
        <v>4270680</v>
      </c>
      <c r="D21" s="14">
        <v>4270680</v>
      </c>
      <c r="E21" s="12"/>
      <c r="F21" s="15"/>
      <c r="G21" s="15"/>
      <c r="H21" s="16"/>
      <c r="I21" s="17" t="s">
        <v>24</v>
      </c>
      <c r="J21" s="48">
        <f>L48</f>
        <v>359.23</v>
      </c>
      <c r="K21" s="49"/>
      <c r="L21" s="11"/>
    </row>
    <row r="22" spans="1:15" x14ac:dyDescent="0.2">
      <c r="A22" s="2">
        <v>0</v>
      </c>
      <c r="B22" s="11" t="s">
        <v>26</v>
      </c>
      <c r="C22" s="14" t="s">
        <v>27</v>
      </c>
      <c r="D22" s="14" t="s">
        <v>27</v>
      </c>
      <c r="E22" s="12"/>
      <c r="F22" s="12"/>
      <c r="G22" s="12"/>
      <c r="H22" s="11"/>
      <c r="I22" s="11"/>
      <c r="J22" s="11"/>
      <c r="K22" s="11"/>
      <c r="L22" s="11"/>
    </row>
    <row r="23" spans="1:15" ht="4.1500000000000004" customHeight="1" x14ac:dyDescent="0.2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</row>
    <row r="24" spans="1:15" s="20" customFormat="1" ht="22.5" x14ac:dyDescent="0.2">
      <c r="A24" s="18" t="s">
        <v>28</v>
      </c>
      <c r="B24" s="19" t="s">
        <v>29</v>
      </c>
      <c r="C24" s="19" t="s">
        <v>30</v>
      </c>
      <c r="D24" s="19" t="s">
        <v>31</v>
      </c>
      <c r="E24" s="19" t="s">
        <v>32</v>
      </c>
      <c r="F24" s="19" t="s">
        <v>33</v>
      </c>
      <c r="G24" s="19" t="s">
        <v>34</v>
      </c>
      <c r="H24" s="19" t="s">
        <v>35</v>
      </c>
      <c r="I24" s="19" t="s">
        <v>36</v>
      </c>
      <c r="J24" s="19" t="s">
        <v>37</v>
      </c>
      <c r="K24" s="19" t="s">
        <v>38</v>
      </c>
      <c r="L24" s="19" t="s">
        <v>39</v>
      </c>
      <c r="M24" s="20" t="s">
        <v>331</v>
      </c>
    </row>
    <row r="25" spans="1:15" ht="22.5" x14ac:dyDescent="0.2">
      <c r="A25" s="21">
        <v>547</v>
      </c>
      <c r="B25" s="22">
        <v>483</v>
      </c>
      <c r="C25" s="23" t="s">
        <v>155</v>
      </c>
      <c r="D25" s="24">
        <v>67598888</v>
      </c>
      <c r="E25" s="25" t="s">
        <v>156</v>
      </c>
      <c r="F25" s="26">
        <v>45789</v>
      </c>
      <c r="G25" s="25">
        <v>3074085</v>
      </c>
      <c r="H25" s="23" t="s">
        <v>91</v>
      </c>
      <c r="I25" s="25" t="s">
        <v>92</v>
      </c>
      <c r="J25" s="27">
        <v>55</v>
      </c>
      <c r="K25" s="27">
        <v>46.54</v>
      </c>
      <c r="L25" s="27">
        <v>8.4600000000000009</v>
      </c>
      <c r="M25" s="2" t="s">
        <v>309</v>
      </c>
      <c r="N25" s="34"/>
      <c r="O25" s="34"/>
    </row>
    <row r="26" spans="1:15" ht="22.5" x14ac:dyDescent="0.2">
      <c r="A26" s="21">
        <v>548</v>
      </c>
      <c r="B26" s="22">
        <v>483</v>
      </c>
      <c r="C26" s="23" t="s">
        <v>155</v>
      </c>
      <c r="D26" s="24">
        <v>67598888</v>
      </c>
      <c r="E26" s="25" t="s">
        <v>156</v>
      </c>
      <c r="F26" s="26">
        <v>45819</v>
      </c>
      <c r="G26" s="25">
        <v>3074085</v>
      </c>
      <c r="H26" s="23" t="s">
        <v>91</v>
      </c>
      <c r="I26" s="25" t="s">
        <v>92</v>
      </c>
      <c r="J26" s="27">
        <v>55</v>
      </c>
      <c r="K26" s="27">
        <v>46.54</v>
      </c>
      <c r="L26" s="27">
        <v>8.4600000000000009</v>
      </c>
      <c r="M26" s="2" t="s">
        <v>309</v>
      </c>
      <c r="N26" s="34"/>
      <c r="O26" s="34"/>
    </row>
    <row r="27" spans="1:15" ht="22.5" x14ac:dyDescent="0.2">
      <c r="A27" s="21">
        <v>549</v>
      </c>
      <c r="B27" s="22">
        <v>483</v>
      </c>
      <c r="C27" s="23" t="s">
        <v>155</v>
      </c>
      <c r="D27" s="24">
        <v>67598888</v>
      </c>
      <c r="E27" s="25" t="s">
        <v>156</v>
      </c>
      <c r="F27" s="26">
        <v>45789</v>
      </c>
      <c r="G27" s="25">
        <v>3075298</v>
      </c>
      <c r="H27" s="23" t="s">
        <v>157</v>
      </c>
      <c r="I27" s="25" t="s">
        <v>158</v>
      </c>
      <c r="J27" s="27">
        <v>51</v>
      </c>
      <c r="K27" s="27">
        <v>44.36</v>
      </c>
      <c r="L27" s="27">
        <v>6.64</v>
      </c>
      <c r="M27" s="2" t="s">
        <v>309</v>
      </c>
      <c r="N27" s="34"/>
      <c r="O27" s="34"/>
    </row>
    <row r="28" spans="1:15" ht="22.5" x14ac:dyDescent="0.2">
      <c r="A28" s="21">
        <v>550</v>
      </c>
      <c r="B28" s="22">
        <v>483</v>
      </c>
      <c r="C28" s="23" t="s">
        <v>155</v>
      </c>
      <c r="D28" s="24">
        <v>67598888</v>
      </c>
      <c r="E28" s="25" t="s">
        <v>156</v>
      </c>
      <c r="F28" s="26">
        <v>45789</v>
      </c>
      <c r="G28" s="25">
        <v>3076254</v>
      </c>
      <c r="H28" s="23" t="s">
        <v>46</v>
      </c>
      <c r="I28" s="25" t="s">
        <v>47</v>
      </c>
      <c r="J28" s="27">
        <v>93</v>
      </c>
      <c r="K28" s="27">
        <v>80.37</v>
      </c>
      <c r="L28" s="27">
        <v>12.63</v>
      </c>
      <c r="M28" s="2" t="s">
        <v>309</v>
      </c>
      <c r="N28" s="34"/>
      <c r="O28" s="34"/>
    </row>
    <row r="29" spans="1:15" ht="22.5" x14ac:dyDescent="0.2">
      <c r="A29" s="21">
        <v>551</v>
      </c>
      <c r="B29" s="22">
        <v>483</v>
      </c>
      <c r="C29" s="23" t="s">
        <v>155</v>
      </c>
      <c r="D29" s="24">
        <v>67598888</v>
      </c>
      <c r="E29" s="25" t="s">
        <v>156</v>
      </c>
      <c r="F29" s="26">
        <v>45819</v>
      </c>
      <c r="G29" s="25">
        <v>3076254</v>
      </c>
      <c r="H29" s="23" t="s">
        <v>46</v>
      </c>
      <c r="I29" s="25" t="s">
        <v>47</v>
      </c>
      <c r="J29" s="27">
        <v>93</v>
      </c>
      <c r="K29" s="27">
        <v>80.37</v>
      </c>
      <c r="L29" s="27">
        <v>12.63</v>
      </c>
      <c r="M29" s="2" t="s">
        <v>309</v>
      </c>
      <c r="N29" s="34"/>
      <c r="O29" s="34"/>
    </row>
    <row r="30" spans="1:15" ht="33.75" x14ac:dyDescent="0.2">
      <c r="A30" s="21">
        <v>552</v>
      </c>
      <c r="B30" s="22">
        <v>483</v>
      </c>
      <c r="C30" s="23" t="s">
        <v>155</v>
      </c>
      <c r="D30" s="24">
        <v>67598888</v>
      </c>
      <c r="E30" s="25" t="s">
        <v>156</v>
      </c>
      <c r="F30" s="26">
        <v>45789</v>
      </c>
      <c r="G30" s="25">
        <v>3076411</v>
      </c>
      <c r="H30" s="23" t="s">
        <v>159</v>
      </c>
      <c r="I30" s="25" t="s">
        <v>160</v>
      </c>
      <c r="J30" s="27">
        <v>94</v>
      </c>
      <c r="K30" s="27">
        <v>70.28</v>
      </c>
      <c r="L30" s="27">
        <v>23.72</v>
      </c>
      <c r="M30" s="2" t="s">
        <v>309</v>
      </c>
      <c r="N30" s="34"/>
      <c r="O30" s="34"/>
    </row>
    <row r="31" spans="1:15" ht="33.75" x14ac:dyDescent="0.2">
      <c r="A31" s="21">
        <v>553</v>
      </c>
      <c r="B31" s="22">
        <v>483</v>
      </c>
      <c r="C31" s="23" t="s">
        <v>155</v>
      </c>
      <c r="D31" s="24">
        <v>67598888</v>
      </c>
      <c r="E31" s="25" t="s">
        <v>156</v>
      </c>
      <c r="F31" s="26">
        <v>45819</v>
      </c>
      <c r="G31" s="25">
        <v>3076411</v>
      </c>
      <c r="H31" s="23" t="s">
        <v>159</v>
      </c>
      <c r="I31" s="25" t="s">
        <v>160</v>
      </c>
      <c r="J31" s="27">
        <v>94</v>
      </c>
      <c r="K31" s="27">
        <v>70.28</v>
      </c>
      <c r="L31" s="27">
        <v>23.72</v>
      </c>
      <c r="M31" s="2" t="s">
        <v>309</v>
      </c>
      <c r="N31" s="34"/>
      <c r="O31" s="34"/>
    </row>
    <row r="32" spans="1:15" ht="33.75" x14ac:dyDescent="0.2">
      <c r="A32" s="21">
        <v>554</v>
      </c>
      <c r="B32" s="22">
        <v>483</v>
      </c>
      <c r="C32" s="23" t="s">
        <v>155</v>
      </c>
      <c r="D32" s="24">
        <v>67598888</v>
      </c>
      <c r="E32" s="25" t="s">
        <v>156</v>
      </c>
      <c r="F32" s="26">
        <v>45789</v>
      </c>
      <c r="G32" s="25">
        <v>3076486</v>
      </c>
      <c r="H32" s="23" t="s">
        <v>48</v>
      </c>
      <c r="I32" s="25" t="s">
        <v>49</v>
      </c>
      <c r="J32" s="27">
        <v>124</v>
      </c>
      <c r="K32" s="27">
        <v>100.48</v>
      </c>
      <c r="L32" s="27">
        <v>23.52</v>
      </c>
      <c r="M32" s="2" t="s">
        <v>309</v>
      </c>
      <c r="N32" s="34"/>
      <c r="O32" s="34"/>
    </row>
    <row r="33" spans="1:15" ht="33.75" x14ac:dyDescent="0.2">
      <c r="A33" s="21">
        <v>555</v>
      </c>
      <c r="B33" s="22">
        <v>483</v>
      </c>
      <c r="C33" s="23" t="s">
        <v>155</v>
      </c>
      <c r="D33" s="24">
        <v>67598888</v>
      </c>
      <c r="E33" s="25" t="s">
        <v>156</v>
      </c>
      <c r="F33" s="26">
        <v>45819</v>
      </c>
      <c r="G33" s="25">
        <v>3076486</v>
      </c>
      <c r="H33" s="23" t="s">
        <v>48</v>
      </c>
      <c r="I33" s="25" t="s">
        <v>49</v>
      </c>
      <c r="J33" s="27">
        <v>124</v>
      </c>
      <c r="K33" s="27">
        <v>100.48</v>
      </c>
      <c r="L33" s="27">
        <v>23.52</v>
      </c>
      <c r="M33" s="2" t="s">
        <v>309</v>
      </c>
      <c r="N33" s="34"/>
      <c r="O33" s="34"/>
    </row>
    <row r="34" spans="1:15" ht="22.5" x14ac:dyDescent="0.2">
      <c r="A34" s="21">
        <v>556</v>
      </c>
      <c r="B34" s="22">
        <v>483</v>
      </c>
      <c r="C34" s="23" t="s">
        <v>155</v>
      </c>
      <c r="D34" s="24">
        <v>67598888</v>
      </c>
      <c r="E34" s="25" t="s">
        <v>156</v>
      </c>
      <c r="F34" s="26">
        <v>45789</v>
      </c>
      <c r="G34" s="25">
        <v>3086303</v>
      </c>
      <c r="H34" s="23" t="s">
        <v>52</v>
      </c>
      <c r="I34" s="25" t="s">
        <v>53</v>
      </c>
      <c r="J34" s="27">
        <v>87</v>
      </c>
      <c r="K34" s="27">
        <v>80.989999999999995</v>
      </c>
      <c r="L34" s="27">
        <v>6.01</v>
      </c>
      <c r="M34" s="2" t="s">
        <v>309</v>
      </c>
      <c r="N34" s="34"/>
      <c r="O34" s="34"/>
    </row>
    <row r="35" spans="1:15" ht="22.5" x14ac:dyDescent="0.2">
      <c r="A35" s="21">
        <v>557</v>
      </c>
      <c r="B35" s="22">
        <v>483</v>
      </c>
      <c r="C35" s="23" t="s">
        <v>155</v>
      </c>
      <c r="D35" s="24">
        <v>67598888</v>
      </c>
      <c r="E35" s="25" t="s">
        <v>156</v>
      </c>
      <c r="F35" s="26">
        <v>45819</v>
      </c>
      <c r="G35" s="25">
        <v>3086303</v>
      </c>
      <c r="H35" s="23" t="s">
        <v>52</v>
      </c>
      <c r="I35" s="25" t="s">
        <v>53</v>
      </c>
      <c r="J35" s="27">
        <v>87</v>
      </c>
      <c r="K35" s="27">
        <v>80.989999999999995</v>
      </c>
      <c r="L35" s="27">
        <v>6.01</v>
      </c>
      <c r="M35" s="2" t="s">
        <v>309</v>
      </c>
      <c r="N35" s="34"/>
      <c r="O35" s="34"/>
    </row>
    <row r="36" spans="1:15" ht="22.5" x14ac:dyDescent="0.2">
      <c r="A36" s="21">
        <v>558</v>
      </c>
      <c r="B36" s="22">
        <v>483</v>
      </c>
      <c r="C36" s="23" t="s">
        <v>155</v>
      </c>
      <c r="D36" s="24">
        <v>67598888</v>
      </c>
      <c r="E36" s="25" t="s">
        <v>156</v>
      </c>
      <c r="F36" s="26">
        <v>45789</v>
      </c>
      <c r="G36" s="25">
        <v>3086428</v>
      </c>
      <c r="H36" s="23" t="s">
        <v>54</v>
      </c>
      <c r="I36" s="25" t="s">
        <v>55</v>
      </c>
      <c r="J36" s="27">
        <v>82</v>
      </c>
      <c r="K36" s="27">
        <v>73.59</v>
      </c>
      <c r="L36" s="27">
        <v>8.41</v>
      </c>
      <c r="M36" s="2" t="s">
        <v>309</v>
      </c>
      <c r="N36" s="34"/>
      <c r="O36" s="34"/>
    </row>
    <row r="37" spans="1:15" ht="45" customHeight="1" x14ac:dyDescent="0.2">
      <c r="A37" s="21">
        <v>559</v>
      </c>
      <c r="B37" s="22">
        <v>483</v>
      </c>
      <c r="C37" s="23" t="s">
        <v>155</v>
      </c>
      <c r="D37" s="24">
        <v>67598888</v>
      </c>
      <c r="E37" s="25" t="s">
        <v>156</v>
      </c>
      <c r="F37" s="26">
        <v>45819</v>
      </c>
      <c r="G37" s="25">
        <v>3086428</v>
      </c>
      <c r="H37" s="23" t="s">
        <v>54</v>
      </c>
      <c r="I37" s="25" t="s">
        <v>55</v>
      </c>
      <c r="J37" s="27">
        <v>82</v>
      </c>
      <c r="K37" s="27">
        <v>73.59</v>
      </c>
      <c r="L37" s="27">
        <v>8.41</v>
      </c>
      <c r="M37" s="2" t="s">
        <v>309</v>
      </c>
      <c r="N37" s="34"/>
      <c r="O37" s="34"/>
    </row>
    <row r="38" spans="1:15" ht="36" customHeight="1" x14ac:dyDescent="0.2">
      <c r="A38" s="21">
        <v>560</v>
      </c>
      <c r="B38" s="22">
        <v>483</v>
      </c>
      <c r="C38" s="23" t="s">
        <v>155</v>
      </c>
      <c r="D38" s="24">
        <v>67598888</v>
      </c>
      <c r="E38" s="25" t="s">
        <v>156</v>
      </c>
      <c r="F38" s="26">
        <v>45819</v>
      </c>
      <c r="G38" s="25">
        <v>7301021</v>
      </c>
      <c r="H38" s="23" t="s">
        <v>56</v>
      </c>
      <c r="I38" s="25" t="s">
        <v>57</v>
      </c>
      <c r="J38" s="27">
        <v>189</v>
      </c>
      <c r="K38" s="27">
        <v>124.97</v>
      </c>
      <c r="L38" s="27">
        <v>64.03</v>
      </c>
      <c r="M38" s="2" t="s">
        <v>309</v>
      </c>
      <c r="N38" s="34"/>
      <c r="O38" s="34"/>
    </row>
    <row r="39" spans="1:15" x14ac:dyDescent="0.2">
      <c r="A39" s="21">
        <v>561</v>
      </c>
      <c r="B39" s="22">
        <v>483</v>
      </c>
      <c r="C39" s="23" t="s">
        <v>161</v>
      </c>
      <c r="D39" s="24">
        <v>67839712</v>
      </c>
      <c r="E39" s="25" t="s">
        <v>162</v>
      </c>
      <c r="F39" s="26">
        <v>45824</v>
      </c>
      <c r="G39" s="25">
        <v>3074085</v>
      </c>
      <c r="H39" s="23" t="s">
        <v>91</v>
      </c>
      <c r="I39" s="25" t="s">
        <v>92</v>
      </c>
      <c r="J39" s="27">
        <v>55</v>
      </c>
      <c r="K39" s="27">
        <v>46.54</v>
      </c>
      <c r="L39" s="27">
        <v>8.4600000000000009</v>
      </c>
      <c r="M39" s="2" t="s">
        <v>309</v>
      </c>
      <c r="N39" s="34"/>
      <c r="O39" s="34"/>
    </row>
    <row r="40" spans="1:15" ht="22.5" x14ac:dyDescent="0.2">
      <c r="A40" s="21">
        <v>562</v>
      </c>
      <c r="B40" s="22">
        <v>483</v>
      </c>
      <c r="C40" s="23" t="s">
        <v>161</v>
      </c>
      <c r="D40" s="24">
        <v>67839712</v>
      </c>
      <c r="E40" s="25" t="s">
        <v>162</v>
      </c>
      <c r="F40" s="26">
        <v>45824</v>
      </c>
      <c r="G40" s="25">
        <v>3076254</v>
      </c>
      <c r="H40" s="23" t="s">
        <v>46</v>
      </c>
      <c r="I40" s="25" t="s">
        <v>47</v>
      </c>
      <c r="J40" s="27">
        <v>93</v>
      </c>
      <c r="K40" s="27">
        <v>80.37</v>
      </c>
      <c r="L40" s="27">
        <v>12.63</v>
      </c>
      <c r="M40" s="2" t="s">
        <v>309</v>
      </c>
      <c r="N40" s="34"/>
      <c r="O40" s="34"/>
    </row>
    <row r="41" spans="1:15" ht="33.75" x14ac:dyDescent="0.2">
      <c r="A41" s="21">
        <v>563</v>
      </c>
      <c r="B41" s="22">
        <v>483</v>
      </c>
      <c r="C41" s="23" t="s">
        <v>161</v>
      </c>
      <c r="D41" s="24">
        <v>67839712</v>
      </c>
      <c r="E41" s="25" t="s">
        <v>162</v>
      </c>
      <c r="F41" s="26">
        <v>45824</v>
      </c>
      <c r="G41" s="25">
        <v>3076486</v>
      </c>
      <c r="H41" s="23" t="s">
        <v>48</v>
      </c>
      <c r="I41" s="25" t="s">
        <v>49</v>
      </c>
      <c r="J41" s="27">
        <v>124</v>
      </c>
      <c r="K41" s="27">
        <v>100.48</v>
      </c>
      <c r="L41" s="27">
        <v>23.52</v>
      </c>
      <c r="M41" s="2" t="s">
        <v>309</v>
      </c>
      <c r="N41" s="34"/>
      <c r="O41" s="34"/>
    </row>
    <row r="42" spans="1:15" ht="22.5" x14ac:dyDescent="0.2">
      <c r="A42" s="21">
        <v>564</v>
      </c>
      <c r="B42" s="22">
        <v>483</v>
      </c>
      <c r="C42" s="23" t="s">
        <v>161</v>
      </c>
      <c r="D42" s="24">
        <v>67839712</v>
      </c>
      <c r="E42" s="25" t="s">
        <v>162</v>
      </c>
      <c r="F42" s="26">
        <v>45824</v>
      </c>
      <c r="G42" s="25">
        <v>3086303</v>
      </c>
      <c r="H42" s="23" t="s">
        <v>52</v>
      </c>
      <c r="I42" s="25" t="s">
        <v>53</v>
      </c>
      <c r="J42" s="27">
        <v>87</v>
      </c>
      <c r="K42" s="27">
        <v>80.989999999999995</v>
      </c>
      <c r="L42" s="27">
        <v>6.01</v>
      </c>
      <c r="M42" s="2" t="s">
        <v>309</v>
      </c>
      <c r="N42" s="34"/>
      <c r="O42" s="34"/>
    </row>
    <row r="43" spans="1:15" ht="22.5" x14ac:dyDescent="0.2">
      <c r="A43" s="21">
        <v>565</v>
      </c>
      <c r="B43" s="22">
        <v>483</v>
      </c>
      <c r="C43" s="23" t="s">
        <v>161</v>
      </c>
      <c r="D43" s="24">
        <v>67839712</v>
      </c>
      <c r="E43" s="25" t="s">
        <v>162</v>
      </c>
      <c r="F43" s="26">
        <v>45824</v>
      </c>
      <c r="G43" s="25">
        <v>3086428</v>
      </c>
      <c r="H43" s="23" t="s">
        <v>54</v>
      </c>
      <c r="I43" s="25" t="s">
        <v>55</v>
      </c>
      <c r="J43" s="27">
        <v>82</v>
      </c>
      <c r="K43" s="27">
        <v>73.59</v>
      </c>
      <c r="L43" s="27">
        <v>8.41</v>
      </c>
      <c r="M43" s="2" t="s">
        <v>309</v>
      </c>
      <c r="N43" s="34"/>
      <c r="O43" s="34"/>
    </row>
    <row r="44" spans="1:15" ht="22.5" x14ac:dyDescent="0.2">
      <c r="A44" s="21">
        <v>566</v>
      </c>
      <c r="B44" s="22">
        <v>483</v>
      </c>
      <c r="C44" s="23" t="s">
        <v>161</v>
      </c>
      <c r="D44" s="24">
        <v>67839712</v>
      </c>
      <c r="E44" s="25" t="s">
        <v>162</v>
      </c>
      <c r="F44" s="26">
        <v>45824</v>
      </c>
      <c r="G44" s="25">
        <v>7301021</v>
      </c>
      <c r="H44" s="23" t="s">
        <v>56</v>
      </c>
      <c r="I44" s="25" t="s">
        <v>57</v>
      </c>
      <c r="J44" s="27">
        <v>189</v>
      </c>
      <c r="K44" s="27">
        <v>124.97</v>
      </c>
      <c r="L44" s="27">
        <v>64.03</v>
      </c>
      <c r="M44" s="2" t="s">
        <v>309</v>
      </c>
      <c r="N44" s="34"/>
      <c r="O44" s="34"/>
    </row>
    <row r="45" spans="1:15" x14ac:dyDescent="0.2">
      <c r="B45" s="12"/>
      <c r="C45" s="28"/>
      <c r="D45" s="29"/>
      <c r="E45" s="12"/>
      <c r="F45" s="12"/>
      <c r="G45" s="12"/>
      <c r="H45" s="30"/>
      <c r="I45" s="30"/>
      <c r="J45" s="30"/>
      <c r="K45" s="36"/>
      <c r="L45" s="11"/>
    </row>
    <row r="46" spans="1:15" x14ac:dyDescent="0.2">
      <c r="B46" s="12"/>
      <c r="C46" s="28"/>
      <c r="D46" s="29"/>
      <c r="E46" s="15"/>
      <c r="F46" s="15"/>
      <c r="G46" s="15"/>
      <c r="H46" s="15"/>
      <c r="I46" s="30"/>
      <c r="J46" s="30"/>
      <c r="K46" s="11"/>
      <c r="L46" s="11"/>
    </row>
    <row r="47" spans="1:15" x14ac:dyDescent="0.2">
      <c r="B47" s="12"/>
      <c r="C47" s="28"/>
      <c r="D47" s="29"/>
      <c r="E47" s="12"/>
      <c r="F47" s="11"/>
      <c r="G47" s="11"/>
      <c r="H47" s="11"/>
      <c r="I47" s="30"/>
      <c r="J47" s="30"/>
      <c r="K47" s="11"/>
      <c r="L47" s="11"/>
    </row>
    <row r="48" spans="1:15" ht="13.5" thickBot="1" x14ac:dyDescent="0.25">
      <c r="B48" s="12"/>
      <c r="C48" s="28"/>
      <c r="D48" s="11" t="s">
        <v>62</v>
      </c>
      <c r="E48" s="31"/>
      <c r="F48" s="31"/>
      <c r="G48" s="31"/>
      <c r="H48" s="32"/>
      <c r="I48" s="11"/>
      <c r="J48" s="30"/>
      <c r="K48" s="11"/>
      <c r="L48" s="33">
        <f>SUM(L25:L44)</f>
        <v>359.23</v>
      </c>
    </row>
    <row r="49" spans="2:12" ht="13.5" thickTop="1" x14ac:dyDescent="0.2">
      <c r="B49" s="12"/>
      <c r="C49" s="28"/>
      <c r="D49" s="35"/>
      <c r="E49" s="31"/>
      <c r="F49" s="31"/>
      <c r="G49" s="31"/>
      <c r="H49" s="32"/>
      <c r="I49" s="11"/>
      <c r="J49" s="30"/>
      <c r="K49" s="11"/>
      <c r="L49" s="36"/>
    </row>
    <row r="53" spans="2:12" ht="59.65" customHeight="1" x14ac:dyDescent="0.25">
      <c r="C53"/>
      <c r="D53"/>
      <c r="E53"/>
      <c r="F53"/>
      <c r="G53"/>
      <c r="H53"/>
      <c r="I53"/>
      <c r="J53"/>
      <c r="K53"/>
    </row>
  </sheetData>
  <autoFilter ref="A24:L44" xr:uid="{A12877E7-FE5B-41D6-AF39-3F8B2FD4DF6B}"/>
  <mergeCells count="4">
    <mergeCell ref="I14:J14"/>
    <mergeCell ref="B16:L16"/>
    <mergeCell ref="B17:L17"/>
    <mergeCell ref="J21:K21"/>
  </mergeCells>
  <dataValidations count="1">
    <dataValidation type="list" allowBlank="1" showInputMessage="1" showErrorMessage="1" sqref="C19:D19" xr:uid="{516C3A13-BEBB-4BBD-B3E7-314081C9BAD3}">
      <formula1>#REF!</formula1>
    </dataValidation>
  </dataValidations>
  <pageMargins left="0.25" right="0.25" top="0.5" bottom="0.5" header="0.3" footer="0.3"/>
  <pageSetup fitToHeight="0" orientation="landscape" r:id="rId1"/>
  <headerFooter differentFirst="1">
    <oddFooter>&amp;L&amp;P</oddFooter>
    <firstFooter>&amp;L&amp;P&amp;C&amp;"Calibri,Bold"YOUR PROMPT PAYMENT WILL BE GREATLY APPRECIATED.
IF ANY OF THESE CLAIMS WERE BILLED IN ERROR, PLEASE EMAIL YVONNE AGUILAR  AT YVONNE.AGUILAR@BANNERHEALTH.COM, SO WE CAN BILL THE PATIENT IN A TIMELY MANNER.  THANK YOU.</first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AB3FD-DA18-4DB2-A4B3-C9C24BCB6BDE}">
  <sheetPr>
    <tabColor rgb="FFFFFF00"/>
    <pageSetUpPr fitToPage="1"/>
  </sheetPr>
  <dimension ref="A1:L36"/>
  <sheetViews>
    <sheetView topLeftCell="B1" zoomScaleNormal="100" workbookViewId="0">
      <selection activeCell="G2" sqref="G2"/>
    </sheetView>
  </sheetViews>
  <sheetFormatPr defaultColWidth="8.85546875" defaultRowHeight="12.75" x14ac:dyDescent="0.2"/>
  <cols>
    <col min="1" max="1" width="14.42578125" style="2" hidden="1" customWidth="1"/>
    <col min="2" max="2" width="13.140625" style="2" customWidth="1"/>
    <col min="3" max="3" width="12.85546875" style="2" customWidth="1"/>
    <col min="4" max="4" width="13" style="2" customWidth="1"/>
    <col min="5" max="5" width="16.5703125" style="2" customWidth="1"/>
    <col min="6" max="7" width="11.42578125" style="2" customWidth="1"/>
    <col min="8" max="8" width="8.85546875" style="2"/>
    <col min="9" max="9" width="19.7109375" style="2" customWidth="1"/>
    <col min="10" max="10" width="10.42578125" style="2" customWidth="1"/>
    <col min="11" max="11" width="11.7109375" style="2" customWidth="1"/>
    <col min="12" max="12" width="9.7109375" style="2" customWidth="1"/>
    <col min="13" max="16384" width="8.85546875" style="2"/>
  </cols>
  <sheetData>
    <row r="1" spans="2:12" x14ac:dyDescent="0.2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x14ac:dyDescent="0.2">
      <c r="B2" s="1"/>
      <c r="C2" s="1"/>
      <c r="D2" s="1"/>
      <c r="E2" s="1"/>
      <c r="F2" s="1"/>
      <c r="G2" s="37" t="s">
        <v>311</v>
      </c>
      <c r="H2" s="1"/>
      <c r="I2" s="3" t="s">
        <v>0</v>
      </c>
      <c r="J2" s="4" t="s">
        <v>163</v>
      </c>
      <c r="K2" s="1"/>
      <c r="L2" s="1"/>
    </row>
    <row r="3" spans="2:12" x14ac:dyDescent="0.2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2:12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2:12" x14ac:dyDescent="0.2"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2:12" ht="4.9000000000000004" customHeight="1" x14ac:dyDescent="0.2"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2:12" x14ac:dyDescent="0.2">
      <c r="B7" s="3" t="s">
        <v>2</v>
      </c>
      <c r="C7" s="1"/>
      <c r="D7" s="1"/>
      <c r="E7" s="1"/>
      <c r="F7" s="1"/>
      <c r="G7" s="1"/>
      <c r="H7" s="1"/>
      <c r="I7" s="5" t="s">
        <v>3</v>
      </c>
      <c r="J7" s="1"/>
      <c r="K7" s="1"/>
      <c r="L7" s="1"/>
    </row>
    <row r="8" spans="2:12" x14ac:dyDescent="0.2">
      <c r="B8" s="3" t="s">
        <v>4</v>
      </c>
      <c r="C8" s="1"/>
      <c r="D8" s="1"/>
      <c r="E8" s="1"/>
      <c r="F8" s="1"/>
      <c r="G8" s="1"/>
      <c r="H8" s="1"/>
      <c r="I8" s="3" t="s">
        <v>5</v>
      </c>
      <c r="J8" s="1"/>
      <c r="K8" s="1"/>
      <c r="L8" s="1"/>
    </row>
    <row r="9" spans="2:12" x14ac:dyDescent="0.2">
      <c r="B9" s="3" t="s">
        <v>6</v>
      </c>
      <c r="C9" s="1"/>
      <c r="D9" s="1"/>
      <c r="E9" s="1"/>
      <c r="F9" s="1"/>
      <c r="G9" s="1"/>
      <c r="H9" s="1"/>
      <c r="I9" s="3" t="s">
        <v>7</v>
      </c>
      <c r="J9" s="1"/>
      <c r="K9" s="1"/>
      <c r="L9" s="1"/>
    </row>
    <row r="10" spans="2:12" x14ac:dyDescent="0.2">
      <c r="B10" s="3" t="s">
        <v>8</v>
      </c>
      <c r="C10" s="1"/>
      <c r="D10" s="1"/>
      <c r="E10" s="1"/>
      <c r="F10" s="1"/>
      <c r="G10" s="1"/>
      <c r="H10" s="1"/>
      <c r="I10" s="6" t="s">
        <v>9</v>
      </c>
      <c r="J10" s="1"/>
      <c r="K10" s="1"/>
      <c r="L10" s="1"/>
    </row>
    <row r="11" spans="2:12" x14ac:dyDescent="0.2">
      <c r="B11" s="3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2:12" x14ac:dyDescent="0.2">
      <c r="B12" s="3" t="s">
        <v>11</v>
      </c>
      <c r="C12" s="1"/>
      <c r="D12" s="1"/>
      <c r="E12" s="1"/>
      <c r="F12" s="1"/>
      <c r="G12" s="1"/>
      <c r="H12" s="1"/>
      <c r="I12" s="6" t="s">
        <v>12</v>
      </c>
      <c r="J12" s="6" t="s">
        <v>13</v>
      </c>
      <c r="K12" s="6"/>
      <c r="L12" s="1"/>
    </row>
    <row r="13" spans="2:12" ht="4.1500000000000004" customHeight="1" thickBot="1" x14ac:dyDescent="0.25">
      <c r="B13" s="3"/>
      <c r="C13" s="1"/>
      <c r="D13" s="1"/>
      <c r="E13" s="1"/>
      <c r="F13" s="6"/>
      <c r="G13" s="6"/>
      <c r="H13" s="6"/>
      <c r="I13" s="1"/>
      <c r="J13" s="1"/>
      <c r="K13" s="1"/>
      <c r="L13" s="1"/>
    </row>
    <row r="14" spans="2:12" ht="13.5" thickBot="1" x14ac:dyDescent="0.25">
      <c r="B14" s="7"/>
      <c r="C14" s="1"/>
      <c r="D14" s="1"/>
      <c r="E14" s="1"/>
      <c r="F14" s="1"/>
      <c r="G14" s="1"/>
      <c r="H14" s="1"/>
      <c r="I14" s="44" t="s">
        <v>14</v>
      </c>
      <c r="J14" s="45"/>
      <c r="K14" s="8" t="s">
        <v>15</v>
      </c>
      <c r="L14" s="9"/>
    </row>
    <row r="15" spans="2:12" ht="6" customHeight="1" thickBot="1" x14ac:dyDescent="0.25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2:12" ht="19.7" customHeight="1" thickTop="1" x14ac:dyDescent="0.2">
      <c r="B16" s="46" t="s">
        <v>16</v>
      </c>
      <c r="C16" s="46"/>
      <c r="D16" s="46"/>
      <c r="E16" s="46"/>
      <c r="F16" s="46"/>
      <c r="G16" s="46"/>
      <c r="H16" s="46"/>
      <c r="I16" s="46"/>
      <c r="J16" s="46"/>
      <c r="K16" s="46"/>
      <c r="L16" s="46"/>
    </row>
    <row r="17" spans="1:12" ht="15.6" customHeight="1" x14ac:dyDescent="0.2">
      <c r="B17" s="47">
        <v>45838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</row>
    <row r="18" spans="1:12" x14ac:dyDescent="0.2">
      <c r="B18" s="11" t="s">
        <v>17</v>
      </c>
      <c r="C18" s="11"/>
      <c r="D18" s="11"/>
      <c r="E18" s="12"/>
      <c r="F18" s="11"/>
      <c r="G18" s="11"/>
      <c r="H18" s="11"/>
      <c r="I18" s="1"/>
      <c r="J18" s="11"/>
      <c r="K18" s="11"/>
      <c r="L18" s="11"/>
    </row>
    <row r="19" spans="1:12" x14ac:dyDescent="0.2">
      <c r="A19" s="2" t="s">
        <v>18</v>
      </c>
      <c r="B19" s="11" t="s">
        <v>19</v>
      </c>
      <c r="C19" s="14" t="s">
        <v>164</v>
      </c>
      <c r="D19" s="11"/>
      <c r="E19" s="12"/>
      <c r="F19" s="1"/>
      <c r="G19" s="1"/>
      <c r="H19" s="1"/>
      <c r="I19" s="1"/>
      <c r="J19" s="1"/>
      <c r="K19" s="1"/>
      <c r="L19" s="11"/>
    </row>
    <row r="20" spans="1:12" ht="13.5" thickBot="1" x14ac:dyDescent="0.25">
      <c r="A20" s="2">
        <v>3</v>
      </c>
      <c r="B20" s="11" t="s">
        <v>21</v>
      </c>
      <c r="C20" s="14">
        <v>2101341520</v>
      </c>
      <c r="D20" s="11"/>
      <c r="E20" s="12"/>
      <c r="F20" s="15"/>
      <c r="G20" s="15"/>
      <c r="H20" s="16"/>
      <c r="I20" s="16"/>
      <c r="J20" s="11"/>
      <c r="K20" s="11"/>
      <c r="L20" s="11"/>
    </row>
    <row r="21" spans="1:12" ht="13.9" customHeight="1" thickBot="1" x14ac:dyDescent="0.25">
      <c r="A21" s="2" t="s">
        <v>22</v>
      </c>
      <c r="B21" s="11" t="s">
        <v>23</v>
      </c>
      <c r="C21" s="14">
        <v>4257210</v>
      </c>
      <c r="E21" s="12"/>
      <c r="F21" s="15"/>
      <c r="G21" s="15"/>
      <c r="H21" s="16"/>
      <c r="I21" s="17" t="s">
        <v>24</v>
      </c>
      <c r="J21" s="52" t="s">
        <v>25</v>
      </c>
      <c r="K21" s="49"/>
      <c r="L21" s="11"/>
    </row>
    <row r="22" spans="1:12" x14ac:dyDescent="0.2">
      <c r="A22" s="2">
        <v>0</v>
      </c>
      <c r="B22" s="11" t="s">
        <v>26</v>
      </c>
      <c r="C22" s="14" t="s">
        <v>27</v>
      </c>
      <c r="D22" s="11"/>
      <c r="E22" s="12"/>
      <c r="F22" s="12"/>
      <c r="G22" s="12"/>
      <c r="H22" s="11"/>
      <c r="I22" s="11"/>
      <c r="J22" s="11"/>
      <c r="K22" s="11"/>
      <c r="L22" s="11"/>
    </row>
    <row r="23" spans="1:12" ht="4.1500000000000004" customHeight="1" x14ac:dyDescent="0.2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</row>
    <row r="24" spans="1:12" s="20" customFormat="1" ht="22.5" x14ac:dyDescent="0.2">
      <c r="A24" s="18" t="s">
        <v>28</v>
      </c>
      <c r="B24" s="19" t="s">
        <v>29</v>
      </c>
      <c r="C24" s="19" t="s">
        <v>30</v>
      </c>
      <c r="D24" s="19" t="s">
        <v>31</v>
      </c>
      <c r="E24" s="19" t="s">
        <v>32</v>
      </c>
      <c r="F24" s="19" t="s">
        <v>33</v>
      </c>
      <c r="G24" s="19" t="s">
        <v>34</v>
      </c>
      <c r="H24" s="19" t="s">
        <v>35</v>
      </c>
      <c r="I24" s="19" t="s">
        <v>36</v>
      </c>
      <c r="J24" s="19" t="s">
        <v>37</v>
      </c>
      <c r="K24" s="19" t="s">
        <v>38</v>
      </c>
      <c r="L24" s="19" t="s">
        <v>39</v>
      </c>
    </row>
    <row r="25" spans="1:12" x14ac:dyDescent="0.2">
      <c r="A25" s="21">
        <v>756</v>
      </c>
      <c r="B25" s="22">
        <v>483</v>
      </c>
      <c r="C25" s="23" t="s">
        <v>165</v>
      </c>
      <c r="D25" s="24">
        <v>67840561</v>
      </c>
      <c r="E25" s="25" t="s">
        <v>166</v>
      </c>
      <c r="F25" s="26">
        <v>45824</v>
      </c>
      <c r="G25" s="25">
        <v>3062650</v>
      </c>
      <c r="H25" s="23" t="s">
        <v>138</v>
      </c>
      <c r="I25" s="25" t="s">
        <v>139</v>
      </c>
      <c r="J25" s="27">
        <v>45</v>
      </c>
      <c r="K25" s="27">
        <v>35.93</v>
      </c>
      <c r="L25" s="27">
        <v>9.07</v>
      </c>
    </row>
    <row r="26" spans="1:12" ht="22.5" x14ac:dyDescent="0.2">
      <c r="A26" s="21">
        <v>757</v>
      </c>
      <c r="B26" s="22">
        <v>483</v>
      </c>
      <c r="C26" s="23" t="s">
        <v>165</v>
      </c>
      <c r="D26" s="24">
        <v>67840561</v>
      </c>
      <c r="E26" s="25" t="s">
        <v>166</v>
      </c>
      <c r="F26" s="26">
        <v>45824</v>
      </c>
      <c r="G26" s="25">
        <v>3073061</v>
      </c>
      <c r="H26" s="23" t="s">
        <v>42</v>
      </c>
      <c r="I26" s="25" t="s">
        <v>43</v>
      </c>
      <c r="J26" s="27">
        <v>66</v>
      </c>
      <c r="K26" s="27">
        <v>55.92</v>
      </c>
      <c r="L26" s="27">
        <v>10.08</v>
      </c>
    </row>
    <row r="27" spans="1:12" x14ac:dyDescent="0.2">
      <c r="A27" s="21">
        <v>758</v>
      </c>
      <c r="B27" s="22">
        <v>483</v>
      </c>
      <c r="C27" s="23" t="s">
        <v>165</v>
      </c>
      <c r="D27" s="24">
        <v>67840561</v>
      </c>
      <c r="E27" s="25" t="s">
        <v>166</v>
      </c>
      <c r="F27" s="26">
        <v>45824</v>
      </c>
      <c r="G27" s="25">
        <v>3074176</v>
      </c>
      <c r="H27" s="23" t="s">
        <v>44</v>
      </c>
      <c r="I27" s="25" t="s">
        <v>45</v>
      </c>
      <c r="J27" s="27">
        <v>93</v>
      </c>
      <c r="K27" s="27">
        <v>83.35</v>
      </c>
      <c r="L27" s="27">
        <v>9.65</v>
      </c>
    </row>
    <row r="28" spans="1:12" x14ac:dyDescent="0.2">
      <c r="B28" s="12"/>
      <c r="C28" s="28"/>
      <c r="D28" s="29"/>
      <c r="E28" s="12"/>
      <c r="F28" s="12"/>
      <c r="G28" s="12"/>
      <c r="H28" s="30"/>
      <c r="I28" s="30"/>
      <c r="J28" s="30"/>
      <c r="K28" s="11"/>
      <c r="L28" s="11"/>
    </row>
    <row r="29" spans="1:12" x14ac:dyDescent="0.2">
      <c r="B29" s="12"/>
      <c r="C29" s="28"/>
      <c r="D29" s="29"/>
      <c r="E29" s="15"/>
      <c r="F29" s="15"/>
      <c r="G29" s="15"/>
      <c r="H29" s="15"/>
      <c r="I29" s="30"/>
      <c r="J29" s="30"/>
      <c r="K29" s="11"/>
      <c r="L29" s="11"/>
    </row>
    <row r="30" spans="1:12" x14ac:dyDescent="0.2">
      <c r="B30" s="12"/>
      <c r="C30" s="28"/>
      <c r="D30" s="29"/>
      <c r="E30" s="12"/>
      <c r="F30" s="11"/>
      <c r="G30" s="11"/>
      <c r="H30" s="11"/>
      <c r="I30" s="30"/>
      <c r="J30" s="30"/>
      <c r="K30" s="11"/>
      <c r="L30" s="11"/>
    </row>
    <row r="31" spans="1:12" ht="13.5" thickBot="1" x14ac:dyDescent="0.25">
      <c r="B31" s="12"/>
      <c r="C31" s="28"/>
      <c r="D31" s="11" t="s">
        <v>62</v>
      </c>
      <c r="E31" s="31"/>
      <c r="F31" s="31"/>
      <c r="G31" s="31"/>
      <c r="H31" s="32"/>
      <c r="I31" s="11"/>
      <c r="J31" s="30"/>
      <c r="K31" s="11"/>
      <c r="L31" s="33">
        <v>28.799999999999997</v>
      </c>
    </row>
    <row r="32" spans="1:12" ht="13.5" thickTop="1" x14ac:dyDescent="0.2">
      <c r="B32" s="12"/>
      <c r="C32" s="28"/>
      <c r="D32" s="35"/>
      <c r="E32" s="31"/>
      <c r="F32" s="31"/>
      <c r="G32" s="31"/>
      <c r="H32" s="32"/>
      <c r="I32" s="11"/>
      <c r="J32" s="30"/>
      <c r="K32" s="11"/>
      <c r="L32" s="36"/>
    </row>
    <row r="36" spans="3:11" ht="59.65" customHeight="1" x14ac:dyDescent="0.25">
      <c r="C36"/>
      <c r="D36"/>
      <c r="E36"/>
      <c r="F36"/>
      <c r="G36"/>
      <c r="H36"/>
      <c r="I36"/>
      <c r="J36"/>
      <c r="K36"/>
    </row>
  </sheetData>
  <mergeCells count="4">
    <mergeCell ref="I14:J14"/>
    <mergeCell ref="B16:L16"/>
    <mergeCell ref="B17:L17"/>
    <mergeCell ref="J21:K21"/>
  </mergeCells>
  <dataValidations count="1">
    <dataValidation type="list" allowBlank="1" showInputMessage="1" showErrorMessage="1" sqref="C19:D19" xr:uid="{F159CC3E-D5D6-4E3F-A318-0FB0A766F503}">
      <formula1>#REF!</formula1>
    </dataValidation>
  </dataValidations>
  <pageMargins left="0.25" right="0.25" top="0.5" bottom="0.5" header="0.3" footer="0.3"/>
  <pageSetup scale="97" fitToHeight="0" orientation="landscape" r:id="rId1"/>
  <headerFooter differentFirst="1">
    <oddFooter>&amp;L&amp;P</oddFooter>
    <firstFooter>&amp;L&amp;P&amp;C&amp;"Calibri,Bold"YOUR PROMPT PAYMENT WILL BE GREATLY APPRECIATED.
IF ANY OF THESE CLAIMS WERE BILLED IN ERROR, PLEASE EMAIL YVONNE AGUILAR  AT YVONNE.AGUILAR@BANNERHEALTH.COM, SO WE CAN BILL THE PATIENT IN A TIMELY MANNER.  THANK YOU.</first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B657B-92B1-486A-843B-A2571B9A96B9}">
  <sheetPr filterMode="1">
    <tabColor theme="0"/>
    <pageSetUpPr fitToPage="1"/>
  </sheetPr>
  <dimension ref="A1:O64"/>
  <sheetViews>
    <sheetView tabSelected="1" topLeftCell="B17" zoomScaleNormal="100" workbookViewId="0">
      <selection activeCell="S64" sqref="S64"/>
    </sheetView>
  </sheetViews>
  <sheetFormatPr defaultColWidth="8.85546875" defaultRowHeight="12.75" x14ac:dyDescent="0.2"/>
  <cols>
    <col min="1" max="1" width="8.85546875" style="2" hidden="1" customWidth="1"/>
    <col min="2" max="2" width="13.28515625" style="2" customWidth="1"/>
    <col min="3" max="3" width="14.5703125" style="2" hidden="1" customWidth="1"/>
    <col min="4" max="4" width="15.7109375" style="2" customWidth="1"/>
    <col min="5" max="5" width="18.42578125" style="2" customWidth="1"/>
    <col min="6" max="7" width="11.42578125" style="2" customWidth="1"/>
    <col min="8" max="8" width="8.85546875" style="2"/>
    <col min="9" max="9" width="30" style="2" customWidth="1"/>
    <col min="10" max="10" width="10.28515625" style="2" customWidth="1"/>
    <col min="11" max="11" width="11.85546875" style="2" customWidth="1"/>
    <col min="12" max="12" width="9.5703125" style="2" customWidth="1"/>
    <col min="13" max="13" width="18" style="2" customWidth="1"/>
    <col min="14" max="16384" width="8.85546875" style="2"/>
  </cols>
  <sheetData>
    <row r="1" spans="2:12" x14ac:dyDescent="0.2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x14ac:dyDescent="0.2">
      <c r="B2" s="1"/>
      <c r="C2" s="1"/>
      <c r="D2" s="1"/>
      <c r="E2" s="1"/>
      <c r="F2" s="1"/>
      <c r="G2" s="37" t="s">
        <v>311</v>
      </c>
      <c r="H2" s="1"/>
      <c r="I2" s="3" t="s">
        <v>0</v>
      </c>
      <c r="J2" s="4" t="s">
        <v>167</v>
      </c>
      <c r="K2" s="1"/>
      <c r="L2" s="1"/>
    </row>
    <row r="3" spans="2:12" x14ac:dyDescent="0.2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2:12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2:12" x14ac:dyDescent="0.2"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2:12" ht="4.9000000000000004" customHeight="1" x14ac:dyDescent="0.2"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2:12" x14ac:dyDescent="0.2">
      <c r="B7" s="3" t="s">
        <v>2</v>
      </c>
      <c r="C7" s="1"/>
      <c r="D7" s="1"/>
      <c r="E7" s="1"/>
      <c r="F7" s="1"/>
      <c r="G7" s="1"/>
      <c r="H7" s="1"/>
      <c r="I7" s="5" t="s">
        <v>3</v>
      </c>
      <c r="J7" s="1"/>
      <c r="K7" s="1"/>
      <c r="L7" s="1"/>
    </row>
    <row r="8" spans="2:12" x14ac:dyDescent="0.2">
      <c r="B8" s="3" t="s">
        <v>4</v>
      </c>
      <c r="C8" s="1"/>
      <c r="D8" s="1"/>
      <c r="E8" s="1"/>
      <c r="F8" s="1"/>
      <c r="G8" s="1"/>
      <c r="H8" s="1"/>
      <c r="I8" s="3" t="s">
        <v>5</v>
      </c>
      <c r="J8" s="1"/>
      <c r="K8" s="1"/>
      <c r="L8" s="1"/>
    </row>
    <row r="9" spans="2:12" x14ac:dyDescent="0.2">
      <c r="B9" s="3" t="s">
        <v>6</v>
      </c>
      <c r="C9" s="1"/>
      <c r="D9" s="1"/>
      <c r="E9" s="1"/>
      <c r="F9" s="1"/>
      <c r="G9" s="1"/>
      <c r="H9" s="1"/>
      <c r="I9" s="3" t="s">
        <v>7</v>
      </c>
      <c r="J9" s="1"/>
      <c r="K9" s="1"/>
      <c r="L9" s="1"/>
    </row>
    <row r="10" spans="2:12" x14ac:dyDescent="0.2">
      <c r="B10" s="3" t="s">
        <v>8</v>
      </c>
      <c r="C10" s="1"/>
      <c r="D10" s="1"/>
      <c r="E10" s="1"/>
      <c r="F10" s="1"/>
      <c r="G10" s="1"/>
      <c r="H10" s="1"/>
      <c r="I10" s="6" t="s">
        <v>9</v>
      </c>
      <c r="J10" s="1"/>
      <c r="K10" s="1"/>
      <c r="L10" s="1"/>
    </row>
    <row r="11" spans="2:12" x14ac:dyDescent="0.2">
      <c r="B11" s="3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2:12" x14ac:dyDescent="0.2">
      <c r="B12" s="3" t="s">
        <v>11</v>
      </c>
      <c r="C12" s="1"/>
      <c r="D12" s="1"/>
      <c r="E12" s="1"/>
      <c r="F12" s="1"/>
      <c r="G12" s="1"/>
      <c r="H12" s="1"/>
      <c r="I12" s="6" t="s">
        <v>12</v>
      </c>
      <c r="J12" s="6" t="s">
        <v>13</v>
      </c>
      <c r="K12" s="6"/>
      <c r="L12" s="1"/>
    </row>
    <row r="13" spans="2:12" ht="4.1500000000000004" customHeight="1" thickBot="1" x14ac:dyDescent="0.25">
      <c r="B13" s="3"/>
      <c r="C13" s="1"/>
      <c r="D13" s="1"/>
      <c r="E13" s="1"/>
      <c r="F13" s="6"/>
      <c r="G13" s="6"/>
      <c r="H13" s="6"/>
      <c r="I13" s="1"/>
      <c r="J13" s="1"/>
      <c r="K13" s="1"/>
      <c r="L13" s="1"/>
    </row>
    <row r="14" spans="2:12" ht="13.5" thickBot="1" x14ac:dyDescent="0.25">
      <c r="B14" s="7"/>
      <c r="C14" s="1"/>
      <c r="D14" s="1"/>
      <c r="E14" s="1"/>
      <c r="F14" s="1"/>
      <c r="G14" s="1"/>
      <c r="H14" s="1"/>
      <c r="I14" s="44" t="s">
        <v>14</v>
      </c>
      <c r="J14" s="45"/>
      <c r="K14" s="8" t="s">
        <v>15</v>
      </c>
      <c r="L14" s="9"/>
    </row>
    <row r="15" spans="2:12" ht="6" customHeight="1" thickBot="1" x14ac:dyDescent="0.25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2:12" ht="19.7" customHeight="1" thickTop="1" x14ac:dyDescent="0.2">
      <c r="B16" s="46" t="s">
        <v>16</v>
      </c>
      <c r="C16" s="46"/>
      <c r="D16" s="46"/>
      <c r="E16" s="46"/>
      <c r="F16" s="46"/>
      <c r="G16" s="46"/>
      <c r="H16" s="46"/>
      <c r="I16" s="46"/>
      <c r="J16" s="46"/>
      <c r="K16" s="46"/>
      <c r="L16" s="46"/>
    </row>
    <row r="17" spans="1:15" ht="15.6" customHeight="1" x14ac:dyDescent="0.2">
      <c r="B17" s="47">
        <v>45838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</row>
    <row r="18" spans="1:15" x14ac:dyDescent="0.2">
      <c r="B18" s="11" t="s">
        <v>314</v>
      </c>
      <c r="C18" s="11" t="s">
        <v>334</v>
      </c>
      <c r="D18" s="11" t="s">
        <v>334</v>
      </c>
      <c r="E18" s="12"/>
      <c r="F18" s="11"/>
      <c r="G18" s="11"/>
      <c r="H18" s="11"/>
      <c r="I18" s="1"/>
      <c r="J18" s="11"/>
      <c r="K18" s="11"/>
      <c r="L18" s="11"/>
    </row>
    <row r="19" spans="1:15" x14ac:dyDescent="0.2">
      <c r="A19" s="2" t="s">
        <v>18</v>
      </c>
      <c r="B19" s="11" t="s">
        <v>19</v>
      </c>
      <c r="C19" s="14" t="s">
        <v>168</v>
      </c>
      <c r="D19" s="14" t="s">
        <v>168</v>
      </c>
      <c r="E19" s="12"/>
      <c r="F19" s="1"/>
      <c r="G19" s="1"/>
      <c r="H19" s="1"/>
      <c r="I19" s="1"/>
      <c r="J19" s="1"/>
      <c r="K19" s="1"/>
      <c r="L19" s="11"/>
    </row>
    <row r="20" spans="1:15" ht="13.5" thickBot="1" x14ac:dyDescent="0.25">
      <c r="A20" s="2">
        <v>31</v>
      </c>
      <c r="B20" s="11" t="s">
        <v>21</v>
      </c>
      <c r="C20" s="14">
        <v>4287</v>
      </c>
      <c r="D20" s="14">
        <v>4287</v>
      </c>
      <c r="E20" s="12"/>
      <c r="F20" s="15"/>
      <c r="G20" s="15"/>
      <c r="H20" s="16"/>
      <c r="I20" s="16" t="s">
        <v>338</v>
      </c>
      <c r="J20" s="11"/>
      <c r="K20" s="11"/>
      <c r="L20" s="11"/>
    </row>
    <row r="21" spans="1:15" ht="13.9" customHeight="1" thickBot="1" x14ac:dyDescent="0.25">
      <c r="A21" s="2" t="s">
        <v>22</v>
      </c>
      <c r="B21" s="11" t="s">
        <v>23</v>
      </c>
      <c r="C21" s="14">
        <v>4272350</v>
      </c>
      <c r="D21" s="14">
        <v>4272350</v>
      </c>
      <c r="E21" s="12"/>
      <c r="F21" s="15"/>
      <c r="G21" s="15"/>
      <c r="H21" s="16"/>
      <c r="I21" s="17" t="s">
        <v>24</v>
      </c>
      <c r="J21" s="48">
        <f>L59</f>
        <v>5409.1600000000008</v>
      </c>
      <c r="K21" s="49"/>
      <c r="L21" s="11"/>
    </row>
    <row r="22" spans="1:15" x14ac:dyDescent="0.2">
      <c r="A22" s="2">
        <v>0</v>
      </c>
      <c r="B22" s="11" t="s">
        <v>26</v>
      </c>
      <c r="C22" s="14" t="s">
        <v>27</v>
      </c>
      <c r="D22" s="14" t="s">
        <v>27</v>
      </c>
      <c r="E22" s="12"/>
      <c r="F22" s="12"/>
      <c r="G22" s="12"/>
      <c r="H22" s="11"/>
      <c r="I22" s="11"/>
      <c r="J22" s="11"/>
      <c r="K22" s="11"/>
      <c r="L22" s="11"/>
    </row>
    <row r="23" spans="1:15" ht="4.1500000000000004" customHeight="1" x14ac:dyDescent="0.2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</row>
    <row r="24" spans="1:15" s="20" customFormat="1" ht="22.5" x14ac:dyDescent="0.2">
      <c r="A24" s="18" t="s">
        <v>28</v>
      </c>
      <c r="B24" s="19" t="s">
        <v>29</v>
      </c>
      <c r="C24" s="19" t="s">
        <v>30</v>
      </c>
      <c r="D24" s="19" t="s">
        <v>31</v>
      </c>
      <c r="E24" s="19" t="s">
        <v>32</v>
      </c>
      <c r="F24" s="19" t="s">
        <v>33</v>
      </c>
      <c r="G24" s="19" t="s">
        <v>34</v>
      </c>
      <c r="H24" s="19" t="s">
        <v>35</v>
      </c>
      <c r="I24" s="19" t="s">
        <v>36</v>
      </c>
      <c r="J24" s="19" t="s">
        <v>37</v>
      </c>
      <c r="K24" s="19" t="s">
        <v>38</v>
      </c>
      <c r="L24" s="19" t="s">
        <v>39</v>
      </c>
      <c r="M24" s="20" t="s">
        <v>335</v>
      </c>
    </row>
    <row r="25" spans="1:15" hidden="1" x14ac:dyDescent="0.2">
      <c r="A25" s="21">
        <v>597</v>
      </c>
      <c r="B25" s="22">
        <v>483</v>
      </c>
      <c r="C25" s="23" t="s">
        <v>169</v>
      </c>
      <c r="D25" s="24">
        <v>67549105</v>
      </c>
      <c r="E25" s="25" t="s">
        <v>170</v>
      </c>
      <c r="F25" s="26">
        <v>45812</v>
      </c>
      <c r="G25" s="25">
        <v>3088127</v>
      </c>
      <c r="H25" s="23" t="s">
        <v>60</v>
      </c>
      <c r="I25" s="25" t="s">
        <v>61</v>
      </c>
      <c r="J25" s="27">
        <v>30</v>
      </c>
      <c r="K25" s="27">
        <v>26.85</v>
      </c>
      <c r="L25" s="27">
        <v>3.15</v>
      </c>
      <c r="M25" s="2" t="s">
        <v>309</v>
      </c>
      <c r="N25" s="34"/>
      <c r="O25" s="34"/>
    </row>
    <row r="26" spans="1:15" ht="22.5" hidden="1" x14ac:dyDescent="0.2">
      <c r="A26" s="21">
        <v>598</v>
      </c>
      <c r="B26" s="22">
        <v>484</v>
      </c>
      <c r="C26" s="23" t="s">
        <v>171</v>
      </c>
      <c r="D26" s="24">
        <v>45677937</v>
      </c>
      <c r="E26" s="25" t="s">
        <v>172</v>
      </c>
      <c r="F26" s="26">
        <v>45814</v>
      </c>
      <c r="G26" s="25">
        <v>3522893</v>
      </c>
      <c r="H26" s="23" t="s">
        <v>77</v>
      </c>
      <c r="I26" s="25" t="s">
        <v>78</v>
      </c>
      <c r="J26" s="27">
        <v>2518</v>
      </c>
      <c r="K26" s="27">
        <v>1721.3</v>
      </c>
      <c r="L26" s="27">
        <v>796.7</v>
      </c>
      <c r="M26" s="2" t="s">
        <v>309</v>
      </c>
      <c r="N26" s="34"/>
      <c r="O26" s="34"/>
    </row>
    <row r="27" spans="1:15" ht="22.5" hidden="1" x14ac:dyDescent="0.2">
      <c r="A27" s="21">
        <v>599</v>
      </c>
      <c r="B27" s="22">
        <v>484</v>
      </c>
      <c r="C27" s="23" t="s">
        <v>171</v>
      </c>
      <c r="D27" s="24">
        <v>45677937</v>
      </c>
      <c r="E27" s="25" t="s">
        <v>172</v>
      </c>
      <c r="F27" s="26">
        <v>45814</v>
      </c>
      <c r="G27" s="25">
        <v>3528965</v>
      </c>
      <c r="H27" s="23" t="s">
        <v>127</v>
      </c>
      <c r="I27" s="25" t="s">
        <v>128</v>
      </c>
      <c r="J27" s="27">
        <v>3299</v>
      </c>
      <c r="K27" s="27">
        <v>2255.1999999999998</v>
      </c>
      <c r="L27" s="27">
        <v>1043.8</v>
      </c>
      <c r="M27" s="2" t="s">
        <v>309</v>
      </c>
      <c r="N27" s="34"/>
      <c r="O27" s="34"/>
    </row>
    <row r="28" spans="1:15" ht="22.5" hidden="1" x14ac:dyDescent="0.2">
      <c r="A28" s="21">
        <v>600</v>
      </c>
      <c r="B28" s="22">
        <v>484</v>
      </c>
      <c r="C28" s="23" t="s">
        <v>171</v>
      </c>
      <c r="D28" s="24">
        <v>45677937</v>
      </c>
      <c r="E28" s="25" t="s">
        <v>172</v>
      </c>
      <c r="F28" s="26">
        <v>45814</v>
      </c>
      <c r="G28" s="25">
        <v>6868046</v>
      </c>
      <c r="H28" s="23" t="s">
        <v>79</v>
      </c>
      <c r="I28" s="25" t="s">
        <v>129</v>
      </c>
      <c r="J28" s="27">
        <v>48</v>
      </c>
      <c r="K28" s="27">
        <v>32.81</v>
      </c>
      <c r="L28" s="27">
        <v>15.19</v>
      </c>
      <c r="M28" s="2" t="s">
        <v>309</v>
      </c>
      <c r="N28" s="34"/>
      <c r="O28" s="34"/>
    </row>
    <row r="29" spans="1:15" ht="22.5" hidden="1" x14ac:dyDescent="0.2">
      <c r="A29" s="21">
        <v>601</v>
      </c>
      <c r="B29" s="22">
        <v>483</v>
      </c>
      <c r="C29" s="23" t="s">
        <v>171</v>
      </c>
      <c r="D29" s="24">
        <v>68164656</v>
      </c>
      <c r="E29" s="25" t="s">
        <v>172</v>
      </c>
      <c r="F29" s="26">
        <v>45819</v>
      </c>
      <c r="G29" s="25">
        <v>4807640</v>
      </c>
      <c r="H29" s="23" t="s">
        <v>173</v>
      </c>
      <c r="I29" s="25" t="s">
        <v>174</v>
      </c>
      <c r="J29" s="27">
        <v>2364</v>
      </c>
      <c r="K29" s="27">
        <v>1563.08</v>
      </c>
      <c r="L29" s="27">
        <v>800.92</v>
      </c>
      <c r="M29" s="2" t="s">
        <v>309</v>
      </c>
      <c r="N29" s="34"/>
      <c r="O29" s="34"/>
    </row>
    <row r="30" spans="1:15" ht="22.5" x14ac:dyDescent="0.2">
      <c r="A30" s="21">
        <v>602</v>
      </c>
      <c r="B30" s="22">
        <v>483</v>
      </c>
      <c r="C30" s="23" t="s">
        <v>175</v>
      </c>
      <c r="D30" s="24">
        <v>67850065</v>
      </c>
      <c r="E30" s="25" t="s">
        <v>176</v>
      </c>
      <c r="F30" s="26">
        <v>45825</v>
      </c>
      <c r="G30" s="25">
        <v>3062338</v>
      </c>
      <c r="H30" s="23" t="s">
        <v>85</v>
      </c>
      <c r="I30" s="25" t="s">
        <v>86</v>
      </c>
      <c r="J30" s="27">
        <v>166</v>
      </c>
      <c r="K30" s="27">
        <v>111.93</v>
      </c>
      <c r="L30" s="27">
        <v>54.07</v>
      </c>
      <c r="M30" s="2" t="s">
        <v>309</v>
      </c>
      <c r="N30" s="34"/>
      <c r="O30" s="34"/>
    </row>
    <row r="31" spans="1:15" x14ac:dyDescent="0.2">
      <c r="A31" s="21">
        <v>603</v>
      </c>
      <c r="B31" s="22">
        <v>483</v>
      </c>
      <c r="C31" s="23" t="s">
        <v>175</v>
      </c>
      <c r="D31" s="24">
        <v>67850065</v>
      </c>
      <c r="E31" s="25" t="s">
        <v>176</v>
      </c>
      <c r="F31" s="26">
        <v>45825</v>
      </c>
      <c r="G31" s="25">
        <v>3062650</v>
      </c>
      <c r="H31" s="23" t="s">
        <v>138</v>
      </c>
      <c r="I31" s="25" t="s">
        <v>139</v>
      </c>
      <c r="J31" s="27">
        <v>45</v>
      </c>
      <c r="K31" s="27">
        <v>35.93</v>
      </c>
      <c r="L31" s="27">
        <v>9.07</v>
      </c>
      <c r="M31" s="2" t="s">
        <v>309</v>
      </c>
      <c r="N31" s="34"/>
      <c r="O31" s="34"/>
    </row>
    <row r="32" spans="1:15" ht="22.5" x14ac:dyDescent="0.2">
      <c r="A32" s="21">
        <v>604</v>
      </c>
      <c r="B32" s="22">
        <v>483</v>
      </c>
      <c r="C32" s="23" t="s">
        <v>175</v>
      </c>
      <c r="D32" s="24">
        <v>67850065</v>
      </c>
      <c r="E32" s="25" t="s">
        <v>176</v>
      </c>
      <c r="F32" s="26">
        <v>45825</v>
      </c>
      <c r="G32" s="25">
        <v>3063419</v>
      </c>
      <c r="H32" s="23" t="s">
        <v>177</v>
      </c>
      <c r="I32" s="25" t="s">
        <v>178</v>
      </c>
      <c r="J32" s="27">
        <v>55</v>
      </c>
      <c r="K32" s="27">
        <v>48.91</v>
      </c>
      <c r="L32" s="27">
        <v>6.09</v>
      </c>
      <c r="M32" s="2" t="s">
        <v>309</v>
      </c>
      <c r="N32" s="34"/>
      <c r="O32" s="34"/>
    </row>
    <row r="33" spans="1:15" x14ac:dyDescent="0.2">
      <c r="A33" s="21">
        <v>605</v>
      </c>
      <c r="B33" s="22">
        <v>483</v>
      </c>
      <c r="C33" s="23" t="s">
        <v>175</v>
      </c>
      <c r="D33" s="24">
        <v>67850065</v>
      </c>
      <c r="E33" s="25" t="s">
        <v>176</v>
      </c>
      <c r="F33" s="26">
        <v>45825</v>
      </c>
      <c r="G33" s="25">
        <v>3064904</v>
      </c>
      <c r="H33" s="23" t="s">
        <v>179</v>
      </c>
      <c r="I33" s="25" t="s">
        <v>180</v>
      </c>
      <c r="J33" s="27">
        <v>92</v>
      </c>
      <c r="K33" s="27">
        <v>65.989999999999995</v>
      </c>
      <c r="L33" s="27">
        <v>26.01</v>
      </c>
      <c r="M33" s="2" t="s">
        <v>309</v>
      </c>
      <c r="N33" s="34"/>
      <c r="O33" s="34"/>
    </row>
    <row r="34" spans="1:15" ht="22.5" x14ac:dyDescent="0.2">
      <c r="A34" s="21">
        <v>606</v>
      </c>
      <c r="B34" s="22">
        <v>483</v>
      </c>
      <c r="C34" s="23" t="s">
        <v>175</v>
      </c>
      <c r="D34" s="24">
        <v>67850065</v>
      </c>
      <c r="E34" s="25" t="s">
        <v>176</v>
      </c>
      <c r="F34" s="26">
        <v>45825</v>
      </c>
      <c r="G34" s="25">
        <v>3073061</v>
      </c>
      <c r="H34" s="23" t="s">
        <v>42</v>
      </c>
      <c r="I34" s="25" t="s">
        <v>43</v>
      </c>
      <c r="J34" s="27">
        <v>66</v>
      </c>
      <c r="K34" s="27">
        <v>55.92</v>
      </c>
      <c r="L34" s="27">
        <v>10.08</v>
      </c>
      <c r="M34" s="2" t="s">
        <v>309</v>
      </c>
      <c r="N34" s="34"/>
      <c r="O34" s="34"/>
    </row>
    <row r="35" spans="1:15" x14ac:dyDescent="0.2">
      <c r="A35" s="21">
        <v>607</v>
      </c>
      <c r="B35" s="22">
        <v>483</v>
      </c>
      <c r="C35" s="23" t="s">
        <v>175</v>
      </c>
      <c r="D35" s="24">
        <v>67850065</v>
      </c>
      <c r="E35" s="25" t="s">
        <v>176</v>
      </c>
      <c r="F35" s="26">
        <v>45825</v>
      </c>
      <c r="G35" s="25">
        <v>3073251</v>
      </c>
      <c r="H35" s="23" t="s">
        <v>181</v>
      </c>
      <c r="I35" s="25" t="s">
        <v>182</v>
      </c>
      <c r="J35" s="27">
        <v>72</v>
      </c>
      <c r="K35" s="27">
        <v>47.61</v>
      </c>
      <c r="L35" s="27">
        <v>24.39</v>
      </c>
      <c r="M35" s="2" t="s">
        <v>309</v>
      </c>
      <c r="N35" s="34"/>
      <c r="O35" s="34"/>
    </row>
    <row r="36" spans="1:15" x14ac:dyDescent="0.2">
      <c r="A36" s="21">
        <v>608</v>
      </c>
      <c r="B36" s="22">
        <v>483</v>
      </c>
      <c r="C36" s="23" t="s">
        <v>175</v>
      </c>
      <c r="D36" s="24">
        <v>67850065</v>
      </c>
      <c r="E36" s="25" t="s">
        <v>176</v>
      </c>
      <c r="F36" s="26">
        <v>45825</v>
      </c>
      <c r="G36" s="25">
        <v>3074176</v>
      </c>
      <c r="H36" s="23" t="s">
        <v>44</v>
      </c>
      <c r="I36" s="25" t="s">
        <v>45</v>
      </c>
      <c r="J36" s="27">
        <v>93</v>
      </c>
      <c r="K36" s="27">
        <v>83.35</v>
      </c>
      <c r="L36" s="27">
        <v>9.65</v>
      </c>
      <c r="M36" s="2" t="s">
        <v>309</v>
      </c>
      <c r="N36" s="34"/>
      <c r="O36" s="34"/>
    </row>
    <row r="37" spans="1:15" x14ac:dyDescent="0.2">
      <c r="A37" s="21">
        <v>609</v>
      </c>
      <c r="B37" s="22">
        <v>483</v>
      </c>
      <c r="C37" s="23" t="s">
        <v>175</v>
      </c>
      <c r="D37" s="24">
        <v>67850065</v>
      </c>
      <c r="E37" s="25" t="s">
        <v>176</v>
      </c>
      <c r="F37" s="26">
        <v>45825</v>
      </c>
      <c r="G37" s="25">
        <v>3076148</v>
      </c>
      <c r="H37" s="23" t="s">
        <v>183</v>
      </c>
      <c r="I37" s="25" t="s">
        <v>184</v>
      </c>
      <c r="J37" s="27">
        <v>111</v>
      </c>
      <c r="K37" s="27">
        <v>73.39</v>
      </c>
      <c r="L37" s="27">
        <v>37.61</v>
      </c>
      <c r="M37" s="2" t="s">
        <v>309</v>
      </c>
      <c r="N37" s="34"/>
      <c r="O37" s="34"/>
    </row>
    <row r="38" spans="1:15" ht="22.5" x14ac:dyDescent="0.2">
      <c r="A38" s="21">
        <v>610</v>
      </c>
      <c r="B38" s="22">
        <v>483</v>
      </c>
      <c r="C38" s="23" t="s">
        <v>175</v>
      </c>
      <c r="D38" s="24">
        <v>67850065</v>
      </c>
      <c r="E38" s="25" t="s">
        <v>176</v>
      </c>
      <c r="F38" s="26">
        <v>45825</v>
      </c>
      <c r="G38" s="25">
        <v>3076486</v>
      </c>
      <c r="H38" s="23" t="s">
        <v>48</v>
      </c>
      <c r="I38" s="25" t="s">
        <v>49</v>
      </c>
      <c r="J38" s="27">
        <v>124</v>
      </c>
      <c r="K38" s="27">
        <v>100.48</v>
      </c>
      <c r="L38" s="27">
        <v>23.52</v>
      </c>
      <c r="M38" s="2" t="s">
        <v>309</v>
      </c>
      <c r="N38" s="34"/>
      <c r="O38" s="34"/>
    </row>
    <row r="39" spans="1:15" x14ac:dyDescent="0.2">
      <c r="A39" s="21">
        <v>611</v>
      </c>
      <c r="B39" s="22">
        <v>483</v>
      </c>
      <c r="C39" s="23" t="s">
        <v>175</v>
      </c>
      <c r="D39" s="24">
        <v>67850065</v>
      </c>
      <c r="E39" s="25" t="s">
        <v>176</v>
      </c>
      <c r="F39" s="26">
        <v>45825</v>
      </c>
      <c r="G39" s="25">
        <v>3088119</v>
      </c>
      <c r="H39" s="23" t="s">
        <v>107</v>
      </c>
      <c r="I39" s="25" t="s">
        <v>108</v>
      </c>
      <c r="J39" s="27">
        <v>62</v>
      </c>
      <c r="K39" s="27">
        <v>57.56</v>
      </c>
      <c r="L39" s="27">
        <v>4.4400000000000004</v>
      </c>
      <c r="M39" s="2" t="s">
        <v>309</v>
      </c>
      <c r="N39" s="34"/>
      <c r="O39" s="34"/>
    </row>
    <row r="40" spans="1:15" x14ac:dyDescent="0.2">
      <c r="A40" s="21">
        <v>612</v>
      </c>
      <c r="B40" s="22">
        <v>483</v>
      </c>
      <c r="C40" s="23" t="s">
        <v>175</v>
      </c>
      <c r="D40" s="24">
        <v>67850065</v>
      </c>
      <c r="E40" s="25" t="s">
        <v>176</v>
      </c>
      <c r="F40" s="26">
        <v>45825</v>
      </c>
      <c r="G40" s="25">
        <v>7301021</v>
      </c>
      <c r="H40" s="23" t="s">
        <v>56</v>
      </c>
      <c r="I40" s="25" t="s">
        <v>57</v>
      </c>
      <c r="J40" s="27">
        <v>189</v>
      </c>
      <c r="K40" s="27">
        <v>124.97</v>
      </c>
      <c r="L40" s="27">
        <v>64.03</v>
      </c>
      <c r="M40" s="2" t="s">
        <v>309</v>
      </c>
      <c r="N40" s="34"/>
      <c r="O40" s="34"/>
    </row>
    <row r="41" spans="1:15" ht="22.5" hidden="1" x14ac:dyDescent="0.2">
      <c r="A41" s="21">
        <v>613</v>
      </c>
      <c r="B41" s="22">
        <v>483</v>
      </c>
      <c r="C41" s="23" t="s">
        <v>171</v>
      </c>
      <c r="D41" s="24">
        <v>67838045</v>
      </c>
      <c r="E41" s="25" t="s">
        <v>172</v>
      </c>
      <c r="F41" s="26">
        <v>45827</v>
      </c>
      <c r="G41" s="25">
        <v>2772341</v>
      </c>
      <c r="H41" s="23" t="s">
        <v>185</v>
      </c>
      <c r="I41" s="25" t="s">
        <v>186</v>
      </c>
      <c r="J41" s="27">
        <v>313</v>
      </c>
      <c r="K41" s="27">
        <v>206.95999999999998</v>
      </c>
      <c r="L41" s="27">
        <v>106.04</v>
      </c>
      <c r="M41" s="2" t="s">
        <v>309</v>
      </c>
      <c r="N41" s="34"/>
      <c r="O41" s="34"/>
    </row>
    <row r="42" spans="1:15" ht="22.5" hidden="1" x14ac:dyDescent="0.2">
      <c r="A42" s="21">
        <v>614</v>
      </c>
      <c r="B42" s="22">
        <v>483</v>
      </c>
      <c r="C42" s="23" t="s">
        <v>171</v>
      </c>
      <c r="D42" s="24">
        <v>67838045</v>
      </c>
      <c r="E42" s="25" t="s">
        <v>172</v>
      </c>
      <c r="F42" s="26">
        <v>45827</v>
      </c>
      <c r="G42" s="25">
        <v>2773349</v>
      </c>
      <c r="H42" s="23" t="s">
        <v>185</v>
      </c>
      <c r="I42" s="25" t="s">
        <v>187</v>
      </c>
      <c r="J42" s="27">
        <v>313</v>
      </c>
      <c r="K42" s="27">
        <v>206.95999999999998</v>
      </c>
      <c r="L42" s="27">
        <v>106.04</v>
      </c>
      <c r="M42" s="2" t="s">
        <v>309</v>
      </c>
      <c r="N42" s="34"/>
      <c r="O42" s="34"/>
    </row>
    <row r="43" spans="1:15" ht="22.5" hidden="1" x14ac:dyDescent="0.2">
      <c r="A43" s="21">
        <v>615</v>
      </c>
      <c r="B43" s="22">
        <v>483</v>
      </c>
      <c r="C43" s="23" t="s">
        <v>171</v>
      </c>
      <c r="D43" s="24">
        <v>67838045</v>
      </c>
      <c r="E43" s="25" t="s">
        <v>172</v>
      </c>
      <c r="F43" s="26">
        <v>45827</v>
      </c>
      <c r="G43" s="25">
        <v>2773406</v>
      </c>
      <c r="H43" s="23" t="s">
        <v>185</v>
      </c>
      <c r="I43" s="25" t="s">
        <v>188</v>
      </c>
      <c r="J43" s="27">
        <v>166</v>
      </c>
      <c r="K43" s="27">
        <v>109.75999999999999</v>
      </c>
      <c r="L43" s="27">
        <v>56.24</v>
      </c>
      <c r="M43" s="2" t="s">
        <v>309</v>
      </c>
      <c r="N43" s="34"/>
      <c r="O43" s="34"/>
    </row>
    <row r="44" spans="1:15" ht="22.5" hidden="1" x14ac:dyDescent="0.2">
      <c r="A44" s="21">
        <v>616</v>
      </c>
      <c r="B44" s="22">
        <v>483</v>
      </c>
      <c r="C44" s="23" t="s">
        <v>171</v>
      </c>
      <c r="D44" s="24">
        <v>67838045</v>
      </c>
      <c r="E44" s="25" t="s">
        <v>172</v>
      </c>
      <c r="F44" s="26">
        <v>45827</v>
      </c>
      <c r="G44" s="25">
        <v>3103421</v>
      </c>
      <c r="H44" s="23" t="s">
        <v>189</v>
      </c>
      <c r="I44" s="25" t="s">
        <v>190</v>
      </c>
      <c r="J44" s="27">
        <v>639</v>
      </c>
      <c r="K44" s="27">
        <v>135.38999999999999</v>
      </c>
      <c r="L44" s="27">
        <v>503.61</v>
      </c>
      <c r="M44" s="2" t="s">
        <v>309</v>
      </c>
      <c r="N44" s="34"/>
      <c r="O44" s="34"/>
    </row>
    <row r="45" spans="1:15" ht="22.5" hidden="1" x14ac:dyDescent="0.2">
      <c r="A45" s="21">
        <v>617</v>
      </c>
      <c r="B45" s="22">
        <v>483</v>
      </c>
      <c r="C45" s="23" t="s">
        <v>171</v>
      </c>
      <c r="D45" s="24">
        <v>67838045</v>
      </c>
      <c r="E45" s="25" t="s">
        <v>172</v>
      </c>
      <c r="F45" s="26">
        <v>45827</v>
      </c>
      <c r="G45" s="25">
        <v>3115920</v>
      </c>
      <c r="H45" s="23" t="s">
        <v>191</v>
      </c>
      <c r="I45" s="25" t="s">
        <v>192</v>
      </c>
      <c r="J45" s="27">
        <v>413</v>
      </c>
      <c r="K45" s="27">
        <v>173.1</v>
      </c>
      <c r="L45" s="27">
        <v>239.9</v>
      </c>
      <c r="M45" s="2" t="s">
        <v>309</v>
      </c>
      <c r="N45" s="34"/>
      <c r="O45" s="34"/>
    </row>
    <row r="46" spans="1:15" ht="22.5" hidden="1" x14ac:dyDescent="0.2">
      <c r="A46" s="21">
        <v>618</v>
      </c>
      <c r="B46" s="22">
        <v>483</v>
      </c>
      <c r="C46" s="23" t="s">
        <v>171</v>
      </c>
      <c r="D46" s="24">
        <v>67838045</v>
      </c>
      <c r="E46" s="25" t="s">
        <v>172</v>
      </c>
      <c r="F46" s="26">
        <v>45827</v>
      </c>
      <c r="G46" s="25">
        <v>3504149</v>
      </c>
      <c r="H46" s="23" t="s">
        <v>193</v>
      </c>
      <c r="I46" s="25" t="s">
        <v>194</v>
      </c>
      <c r="J46" s="27">
        <v>485</v>
      </c>
      <c r="K46" s="27">
        <v>320.68</v>
      </c>
      <c r="L46" s="27">
        <v>164.32</v>
      </c>
      <c r="M46" s="2" t="s">
        <v>309</v>
      </c>
      <c r="N46" s="34"/>
      <c r="O46" s="34"/>
    </row>
    <row r="47" spans="1:15" ht="22.5" hidden="1" x14ac:dyDescent="0.2">
      <c r="A47" s="21">
        <v>619</v>
      </c>
      <c r="B47" s="22">
        <v>483</v>
      </c>
      <c r="C47" s="23" t="s">
        <v>171</v>
      </c>
      <c r="D47" s="24">
        <v>67838045</v>
      </c>
      <c r="E47" s="25" t="s">
        <v>172</v>
      </c>
      <c r="F47" s="26">
        <v>45827</v>
      </c>
      <c r="G47" s="25">
        <v>3504156</v>
      </c>
      <c r="H47" s="23" t="s">
        <v>195</v>
      </c>
      <c r="I47" s="25" t="s">
        <v>196</v>
      </c>
      <c r="J47" s="27">
        <v>325</v>
      </c>
      <c r="K47" s="27">
        <v>214.89</v>
      </c>
      <c r="L47" s="27">
        <v>110.11</v>
      </c>
      <c r="M47" s="2" t="s">
        <v>309</v>
      </c>
      <c r="N47" s="34"/>
      <c r="O47" s="34"/>
    </row>
    <row r="48" spans="1:15" ht="22.5" hidden="1" x14ac:dyDescent="0.2">
      <c r="A48" s="21">
        <v>620</v>
      </c>
      <c r="B48" s="22">
        <v>483</v>
      </c>
      <c r="C48" s="23" t="s">
        <v>171</v>
      </c>
      <c r="D48" s="24">
        <v>67838045</v>
      </c>
      <c r="E48" s="25" t="s">
        <v>172</v>
      </c>
      <c r="F48" s="26">
        <v>45827</v>
      </c>
      <c r="G48" s="25">
        <v>3522067</v>
      </c>
      <c r="H48" s="23" t="s">
        <v>197</v>
      </c>
      <c r="I48" s="25" t="s">
        <v>198</v>
      </c>
      <c r="J48" s="27">
        <v>2209</v>
      </c>
      <c r="K48" s="27">
        <v>1460.5900000000001</v>
      </c>
      <c r="L48" s="27">
        <v>748.41</v>
      </c>
      <c r="M48" s="2" t="s">
        <v>309</v>
      </c>
      <c r="N48" s="34"/>
      <c r="O48" s="34"/>
    </row>
    <row r="49" spans="1:15" ht="22.5" hidden="1" x14ac:dyDescent="0.2">
      <c r="A49" s="21">
        <v>621</v>
      </c>
      <c r="B49" s="22">
        <v>483</v>
      </c>
      <c r="C49" s="23" t="s">
        <v>171</v>
      </c>
      <c r="D49" s="24">
        <v>67838045</v>
      </c>
      <c r="E49" s="25" t="s">
        <v>172</v>
      </c>
      <c r="F49" s="26">
        <v>45827</v>
      </c>
      <c r="G49" s="25">
        <v>3522216</v>
      </c>
      <c r="H49" s="23" t="s">
        <v>199</v>
      </c>
      <c r="I49" s="25" t="s">
        <v>200</v>
      </c>
      <c r="J49" s="27">
        <v>1266</v>
      </c>
      <c r="K49" s="27">
        <v>837.07999999999993</v>
      </c>
      <c r="L49" s="27">
        <v>428.92</v>
      </c>
      <c r="M49" s="2" t="s">
        <v>309</v>
      </c>
      <c r="N49" s="34"/>
      <c r="O49" s="34"/>
    </row>
    <row r="50" spans="1:15" ht="22.5" hidden="1" x14ac:dyDescent="0.2">
      <c r="A50" s="21">
        <v>622</v>
      </c>
      <c r="B50" s="22">
        <v>483</v>
      </c>
      <c r="C50" s="23" t="s">
        <v>171</v>
      </c>
      <c r="D50" s="24">
        <v>67838045</v>
      </c>
      <c r="E50" s="25" t="s">
        <v>172</v>
      </c>
      <c r="F50" s="26">
        <v>45827</v>
      </c>
      <c r="G50" s="25">
        <v>6787386</v>
      </c>
      <c r="H50" s="23" t="s">
        <v>201</v>
      </c>
      <c r="I50" s="25" t="s">
        <v>202</v>
      </c>
      <c r="J50" s="27">
        <v>5.9</v>
      </c>
      <c r="K50" s="27">
        <v>3.9000000000000004</v>
      </c>
      <c r="L50" s="27">
        <v>2</v>
      </c>
      <c r="M50" s="2" t="s">
        <v>309</v>
      </c>
      <c r="N50" s="34"/>
      <c r="O50" s="34"/>
    </row>
    <row r="51" spans="1:15" ht="22.5" hidden="1" x14ac:dyDescent="0.2">
      <c r="A51" s="21">
        <v>623</v>
      </c>
      <c r="B51" s="22">
        <v>483</v>
      </c>
      <c r="C51" s="23" t="s">
        <v>171</v>
      </c>
      <c r="D51" s="24">
        <v>67838045</v>
      </c>
      <c r="E51" s="25" t="s">
        <v>172</v>
      </c>
      <c r="F51" s="26">
        <v>45827</v>
      </c>
      <c r="G51" s="25">
        <v>6873046</v>
      </c>
      <c r="H51" s="23" t="s">
        <v>203</v>
      </c>
      <c r="I51" s="25" t="s">
        <v>204</v>
      </c>
      <c r="J51" s="27">
        <v>10.199999999999999</v>
      </c>
      <c r="K51" s="27">
        <v>6.7399999999999993</v>
      </c>
      <c r="L51" s="27">
        <v>3.46</v>
      </c>
      <c r="M51" s="2" t="s">
        <v>309</v>
      </c>
      <c r="N51" s="34"/>
      <c r="O51" s="34"/>
    </row>
    <row r="52" spans="1:15" ht="22.5" hidden="1" x14ac:dyDescent="0.2">
      <c r="A52" s="21">
        <v>624</v>
      </c>
      <c r="B52" s="22">
        <v>483</v>
      </c>
      <c r="C52" s="23" t="s">
        <v>171</v>
      </c>
      <c r="D52" s="24">
        <v>67838045</v>
      </c>
      <c r="E52" s="25" t="s">
        <v>172</v>
      </c>
      <c r="F52" s="26">
        <v>45827</v>
      </c>
      <c r="G52" s="25">
        <v>6873046</v>
      </c>
      <c r="H52" s="23" t="s">
        <v>203</v>
      </c>
      <c r="I52" s="25" t="s">
        <v>204</v>
      </c>
      <c r="J52" s="27">
        <v>10.199999999999999</v>
      </c>
      <c r="K52" s="27">
        <v>6.7399999999999993</v>
      </c>
      <c r="L52" s="27">
        <v>3.46</v>
      </c>
      <c r="M52" s="2" t="s">
        <v>309</v>
      </c>
      <c r="N52" s="34"/>
      <c r="O52" s="34"/>
    </row>
    <row r="53" spans="1:15" ht="22.5" hidden="1" x14ac:dyDescent="0.2">
      <c r="A53" s="21">
        <v>625</v>
      </c>
      <c r="B53" s="22">
        <v>483</v>
      </c>
      <c r="C53" s="23" t="s">
        <v>171</v>
      </c>
      <c r="D53" s="24">
        <v>67838045</v>
      </c>
      <c r="E53" s="25" t="s">
        <v>172</v>
      </c>
      <c r="F53" s="26">
        <v>45827</v>
      </c>
      <c r="G53" s="25">
        <v>6875355</v>
      </c>
      <c r="H53" s="23" t="s">
        <v>205</v>
      </c>
      <c r="I53" s="25" t="s">
        <v>206</v>
      </c>
      <c r="J53" s="27">
        <v>6.6</v>
      </c>
      <c r="K53" s="27">
        <v>4.3599999999999994</v>
      </c>
      <c r="L53" s="27">
        <v>2.2400000000000002</v>
      </c>
      <c r="M53" s="2" t="s">
        <v>309</v>
      </c>
      <c r="N53" s="34"/>
      <c r="O53" s="34"/>
    </row>
    <row r="54" spans="1:15" ht="22.5" hidden="1" x14ac:dyDescent="0.2">
      <c r="A54" s="21">
        <v>626</v>
      </c>
      <c r="B54" s="22">
        <v>483</v>
      </c>
      <c r="C54" s="23" t="s">
        <v>171</v>
      </c>
      <c r="D54" s="24">
        <v>67838045</v>
      </c>
      <c r="E54" s="25" t="s">
        <v>172</v>
      </c>
      <c r="F54" s="26">
        <v>45827</v>
      </c>
      <c r="G54" s="25">
        <v>6875934</v>
      </c>
      <c r="H54" s="23" t="s">
        <v>207</v>
      </c>
      <c r="I54" s="25" t="s">
        <v>208</v>
      </c>
      <c r="J54" s="27">
        <v>6.8</v>
      </c>
      <c r="K54" s="27">
        <v>4.5</v>
      </c>
      <c r="L54" s="27">
        <v>2.2999999999999998</v>
      </c>
      <c r="M54" s="2" t="s">
        <v>309</v>
      </c>
      <c r="N54" s="34"/>
      <c r="O54" s="34"/>
    </row>
    <row r="55" spans="1:15" ht="22.5" hidden="1" x14ac:dyDescent="0.2">
      <c r="A55" s="21">
        <v>627</v>
      </c>
      <c r="B55" s="22">
        <v>483</v>
      </c>
      <c r="C55" s="23" t="s">
        <v>171</v>
      </c>
      <c r="D55" s="24">
        <v>67838045</v>
      </c>
      <c r="E55" s="25" t="s">
        <v>172</v>
      </c>
      <c r="F55" s="26">
        <v>45827</v>
      </c>
      <c r="G55" s="25">
        <v>6883243</v>
      </c>
      <c r="H55" s="23" t="s">
        <v>209</v>
      </c>
      <c r="I55" s="25" t="s">
        <v>210</v>
      </c>
      <c r="J55" s="27">
        <v>10</v>
      </c>
      <c r="K55" s="27">
        <v>6.6099999999999994</v>
      </c>
      <c r="L55" s="27">
        <v>3.39</v>
      </c>
      <c r="M55" s="2" t="s">
        <v>309</v>
      </c>
      <c r="N55" s="34"/>
      <c r="O55" s="34"/>
    </row>
    <row r="56" spans="1:15" x14ac:dyDescent="0.2">
      <c r="B56" s="12"/>
      <c r="C56" s="28"/>
      <c r="D56" s="29"/>
      <c r="E56" s="12"/>
      <c r="F56" s="12"/>
      <c r="G56" s="12"/>
      <c r="H56" s="30"/>
      <c r="I56" s="30"/>
      <c r="J56" s="30"/>
      <c r="K56" s="36"/>
      <c r="L56" s="11"/>
    </row>
    <row r="57" spans="1:15" x14ac:dyDescent="0.2">
      <c r="B57" s="12"/>
      <c r="C57" s="28"/>
      <c r="D57" s="29"/>
      <c r="E57" s="15"/>
      <c r="F57" s="15"/>
      <c r="G57" s="15"/>
      <c r="H57" s="15"/>
      <c r="I57" s="30"/>
      <c r="J57" s="30"/>
      <c r="K57" s="11"/>
      <c r="L57" s="11"/>
    </row>
    <row r="58" spans="1:15" x14ac:dyDescent="0.2">
      <c r="B58" s="12"/>
      <c r="C58" s="28"/>
      <c r="D58" s="29"/>
      <c r="E58" s="12"/>
      <c r="F58" s="11"/>
      <c r="G58" s="11"/>
      <c r="H58" s="11"/>
      <c r="I58" s="30"/>
      <c r="J58" s="30"/>
      <c r="K58" s="11"/>
      <c r="L58" s="11"/>
    </row>
    <row r="59" spans="1:15" ht="13.5" thickBot="1" x14ac:dyDescent="0.25">
      <c r="B59" s="12"/>
      <c r="C59" s="28"/>
      <c r="D59" s="11" t="s">
        <v>62</v>
      </c>
      <c r="E59" s="31"/>
      <c r="F59" s="31"/>
      <c r="G59" s="31"/>
      <c r="H59" s="32"/>
      <c r="I59" s="11"/>
      <c r="J59" s="30"/>
      <c r="K59" s="11"/>
      <c r="L59" s="33">
        <f>SUM(L25:L55)</f>
        <v>5409.1600000000008</v>
      </c>
    </row>
    <row r="60" spans="1:15" ht="13.5" thickTop="1" x14ac:dyDescent="0.2">
      <c r="B60" s="12"/>
      <c r="C60" s="28"/>
      <c r="D60" s="35"/>
      <c r="E60" s="31"/>
      <c r="F60" s="31"/>
      <c r="G60" s="31"/>
      <c r="H60" s="32"/>
      <c r="I60" s="11"/>
      <c r="J60" s="30"/>
      <c r="K60" s="11"/>
      <c r="L60" s="36"/>
    </row>
    <row r="64" spans="1:15" ht="59.65" customHeight="1" x14ac:dyDescent="0.25">
      <c r="C64"/>
      <c r="D64"/>
      <c r="E64"/>
      <c r="F64"/>
      <c r="G64"/>
      <c r="H64"/>
      <c r="I64"/>
      <c r="J64"/>
      <c r="K64"/>
    </row>
  </sheetData>
  <autoFilter ref="A24:L55" xr:uid="{5C0B657B-92B1-486A-843B-A2571B9A96B9}">
    <filterColumn colId="4">
      <filters>
        <filter val="CARRILLO, FELIX B"/>
      </filters>
    </filterColumn>
  </autoFilter>
  <mergeCells count="4">
    <mergeCell ref="I14:J14"/>
    <mergeCell ref="B16:L16"/>
    <mergeCell ref="B17:L17"/>
    <mergeCell ref="J21:K21"/>
  </mergeCells>
  <dataValidations count="1">
    <dataValidation type="list" allowBlank="1" showInputMessage="1" showErrorMessage="1" sqref="C19:D19" xr:uid="{1A6F4C54-70A5-4858-86DA-1696907A7760}">
      <formula1>#REF!</formula1>
    </dataValidation>
  </dataValidations>
  <pageMargins left="0.25" right="0.25" top="0.5" bottom="0.5" header="0.3" footer="0.3"/>
  <pageSetup scale="94" fitToHeight="0" orientation="landscape" r:id="rId1"/>
  <headerFooter differentFirst="1">
    <oddFooter>&amp;L&amp;P</oddFooter>
    <firstFooter>&amp;L&amp;P&amp;C&amp;"Calibri,Bold"YOUR PROMPT PAYMENT WILL BE GREATLY APPRECIATED.
IF ANY OF THESE CLAIMS WERE BILLED IN ERROR, PLEASE EMAIL YVONNE AGUILAR  AT YVONNE.AGUILAR@BANNERHEALTH.COM, SO WE CAN BILL THE PATIENT IN A TIMELY MANNER.  THANK YOU.</first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E48CF-9938-4C3A-8823-8F35CAA4A7DA}">
  <sheetPr>
    <tabColor rgb="FFFFFF00"/>
    <pageSetUpPr fitToPage="1"/>
  </sheetPr>
  <dimension ref="A1:L36"/>
  <sheetViews>
    <sheetView topLeftCell="B1" zoomScaleNormal="100" workbookViewId="0">
      <selection activeCell="G2" sqref="G2"/>
    </sheetView>
  </sheetViews>
  <sheetFormatPr defaultColWidth="8.85546875" defaultRowHeight="12.75" x14ac:dyDescent="0.2"/>
  <cols>
    <col min="1" max="1" width="14.42578125" style="2" hidden="1" customWidth="1"/>
    <col min="2" max="2" width="13.28515625" style="2" customWidth="1"/>
    <col min="3" max="3" width="15" style="2" customWidth="1"/>
    <col min="4" max="4" width="11.28515625" style="2" customWidth="1"/>
    <col min="5" max="5" width="18.42578125" style="2" customWidth="1"/>
    <col min="6" max="7" width="11.42578125" style="2" customWidth="1"/>
    <col min="8" max="8" width="8.85546875" style="2"/>
    <col min="9" max="9" width="19.7109375" style="2" customWidth="1"/>
    <col min="10" max="10" width="9.28515625" style="2" bestFit="1" customWidth="1"/>
    <col min="11" max="11" width="11.140625" style="2" customWidth="1"/>
    <col min="12" max="12" width="9.5703125" style="2" customWidth="1"/>
    <col min="13" max="16384" width="8.85546875" style="2"/>
  </cols>
  <sheetData>
    <row r="1" spans="2:12" x14ac:dyDescent="0.2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x14ac:dyDescent="0.2">
      <c r="B2" s="1"/>
      <c r="C2" s="1"/>
      <c r="D2" s="1"/>
      <c r="E2" s="1"/>
      <c r="F2" s="1"/>
      <c r="G2" s="37" t="s">
        <v>311</v>
      </c>
      <c r="H2" s="1"/>
      <c r="I2" s="3" t="s">
        <v>0</v>
      </c>
      <c r="J2" s="4" t="s">
        <v>211</v>
      </c>
      <c r="K2" s="1"/>
      <c r="L2" s="1"/>
    </row>
    <row r="3" spans="2:12" x14ac:dyDescent="0.2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2:12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2:12" x14ac:dyDescent="0.2"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2:12" ht="4.9000000000000004" customHeight="1" x14ac:dyDescent="0.2"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2:12" x14ac:dyDescent="0.2">
      <c r="B7" s="3" t="s">
        <v>2</v>
      </c>
      <c r="C7" s="1"/>
      <c r="D7" s="1"/>
      <c r="E7" s="1"/>
      <c r="F7" s="1"/>
      <c r="G7" s="1"/>
      <c r="H7" s="1"/>
      <c r="I7" s="5" t="s">
        <v>3</v>
      </c>
      <c r="J7" s="1"/>
      <c r="K7" s="1"/>
      <c r="L7" s="1"/>
    </row>
    <row r="8" spans="2:12" x14ac:dyDescent="0.2">
      <c r="B8" s="3" t="s">
        <v>4</v>
      </c>
      <c r="C8" s="1"/>
      <c r="D8" s="1"/>
      <c r="E8" s="1"/>
      <c r="F8" s="1"/>
      <c r="G8" s="1"/>
      <c r="H8" s="1"/>
      <c r="I8" s="3" t="s">
        <v>5</v>
      </c>
      <c r="J8" s="1"/>
      <c r="K8" s="1"/>
      <c r="L8" s="1"/>
    </row>
    <row r="9" spans="2:12" x14ac:dyDescent="0.2">
      <c r="B9" s="3" t="s">
        <v>6</v>
      </c>
      <c r="C9" s="1"/>
      <c r="D9" s="1"/>
      <c r="E9" s="1"/>
      <c r="F9" s="1"/>
      <c r="G9" s="1"/>
      <c r="H9" s="1"/>
      <c r="I9" s="3" t="s">
        <v>7</v>
      </c>
      <c r="J9" s="1"/>
      <c r="K9" s="1"/>
      <c r="L9" s="1"/>
    </row>
    <row r="10" spans="2:12" x14ac:dyDescent="0.2">
      <c r="B10" s="3" t="s">
        <v>8</v>
      </c>
      <c r="C10" s="1"/>
      <c r="D10" s="1"/>
      <c r="E10" s="1"/>
      <c r="F10" s="1"/>
      <c r="G10" s="1"/>
      <c r="H10" s="1"/>
      <c r="I10" s="6" t="s">
        <v>9</v>
      </c>
      <c r="J10" s="1"/>
      <c r="K10" s="1"/>
      <c r="L10" s="1"/>
    </row>
    <row r="11" spans="2:12" x14ac:dyDescent="0.2">
      <c r="B11" s="3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2:12" x14ac:dyDescent="0.2">
      <c r="B12" s="3" t="s">
        <v>11</v>
      </c>
      <c r="C12" s="1"/>
      <c r="D12" s="1"/>
      <c r="E12" s="1"/>
      <c r="F12" s="1"/>
      <c r="G12" s="1"/>
      <c r="H12" s="1"/>
      <c r="I12" s="6" t="s">
        <v>12</v>
      </c>
      <c r="J12" s="6" t="s">
        <v>13</v>
      </c>
      <c r="K12" s="6"/>
      <c r="L12" s="1"/>
    </row>
    <row r="13" spans="2:12" ht="4.1500000000000004" customHeight="1" thickBot="1" x14ac:dyDescent="0.25">
      <c r="B13" s="3"/>
      <c r="C13" s="1"/>
      <c r="D13" s="1"/>
      <c r="E13" s="1"/>
      <c r="F13" s="6"/>
      <c r="G13" s="6"/>
      <c r="H13" s="6"/>
      <c r="I13" s="1"/>
      <c r="J13" s="1"/>
      <c r="K13" s="1"/>
      <c r="L13" s="1"/>
    </row>
    <row r="14" spans="2:12" ht="13.5" thickBot="1" x14ac:dyDescent="0.25">
      <c r="B14" s="7"/>
      <c r="C14" s="1"/>
      <c r="D14" s="1"/>
      <c r="E14" s="1"/>
      <c r="F14" s="1"/>
      <c r="G14" s="1"/>
      <c r="H14" s="1"/>
      <c r="I14" s="44" t="s">
        <v>14</v>
      </c>
      <c r="J14" s="45"/>
      <c r="K14" s="8" t="s">
        <v>15</v>
      </c>
      <c r="L14" s="9"/>
    </row>
    <row r="15" spans="2:12" ht="6" customHeight="1" thickBot="1" x14ac:dyDescent="0.25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2:12" ht="19.7" customHeight="1" thickTop="1" x14ac:dyDescent="0.2">
      <c r="B16" s="46" t="s">
        <v>16</v>
      </c>
      <c r="C16" s="46"/>
      <c r="D16" s="46"/>
      <c r="E16" s="46"/>
      <c r="F16" s="46"/>
      <c r="G16" s="46"/>
      <c r="H16" s="46"/>
      <c r="I16" s="46"/>
      <c r="J16" s="46"/>
      <c r="K16" s="46"/>
      <c r="L16" s="46"/>
    </row>
    <row r="17" spans="1:12" ht="15.6" customHeight="1" x14ac:dyDescent="0.2">
      <c r="B17" s="47">
        <v>45838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</row>
    <row r="18" spans="1:12" x14ac:dyDescent="0.2">
      <c r="B18" s="11" t="s">
        <v>17</v>
      </c>
      <c r="C18" s="11"/>
      <c r="D18" s="11"/>
      <c r="E18" s="12"/>
      <c r="F18" s="11"/>
      <c r="G18" s="11"/>
      <c r="H18" s="11"/>
      <c r="I18" s="1"/>
      <c r="J18" s="11"/>
      <c r="K18" s="11"/>
      <c r="L18" s="11"/>
    </row>
    <row r="19" spans="1:12" x14ac:dyDescent="0.2">
      <c r="A19" s="2" t="s">
        <v>18</v>
      </c>
      <c r="B19" s="11" t="s">
        <v>19</v>
      </c>
      <c r="C19" s="14" t="s">
        <v>212</v>
      </c>
      <c r="D19" s="11"/>
      <c r="E19" s="12"/>
      <c r="F19" s="1"/>
      <c r="G19" s="1"/>
      <c r="H19" s="1"/>
      <c r="I19" s="1"/>
      <c r="J19" s="1"/>
      <c r="K19" s="1"/>
      <c r="L19" s="11"/>
    </row>
    <row r="20" spans="1:12" ht="13.5" thickBot="1" x14ac:dyDescent="0.25">
      <c r="A20" s="2">
        <v>3</v>
      </c>
      <c r="B20" s="11" t="s">
        <v>21</v>
      </c>
      <c r="C20" s="14">
        <v>2120</v>
      </c>
      <c r="D20" s="11"/>
      <c r="E20" s="12"/>
      <c r="F20" s="15"/>
      <c r="G20" s="15"/>
      <c r="H20" s="16"/>
      <c r="I20" s="16"/>
      <c r="J20" s="11"/>
      <c r="K20" s="11"/>
      <c r="L20" s="11"/>
    </row>
    <row r="21" spans="1:12" ht="13.9" customHeight="1" thickBot="1" x14ac:dyDescent="0.25">
      <c r="A21" s="2" t="s">
        <v>22</v>
      </c>
      <c r="B21" s="11" t="s">
        <v>23</v>
      </c>
      <c r="C21" s="14">
        <v>4265090</v>
      </c>
      <c r="E21" s="12"/>
      <c r="F21" s="15"/>
      <c r="G21" s="15"/>
      <c r="H21" s="16"/>
      <c r="I21" s="17" t="s">
        <v>24</v>
      </c>
      <c r="J21" s="52" t="s">
        <v>25</v>
      </c>
      <c r="K21" s="49"/>
      <c r="L21" s="11"/>
    </row>
    <row r="22" spans="1:12" x14ac:dyDescent="0.2">
      <c r="A22" s="2">
        <v>0</v>
      </c>
      <c r="B22" s="11" t="s">
        <v>26</v>
      </c>
      <c r="C22" s="14" t="s">
        <v>27</v>
      </c>
      <c r="D22" s="11"/>
      <c r="E22" s="12"/>
      <c r="F22" s="12"/>
      <c r="G22" s="12"/>
      <c r="H22" s="11"/>
      <c r="I22" s="11"/>
      <c r="J22" s="11"/>
      <c r="K22" s="11"/>
      <c r="L22" s="11"/>
    </row>
    <row r="23" spans="1:12" ht="4.1500000000000004" customHeight="1" x14ac:dyDescent="0.2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</row>
    <row r="24" spans="1:12" s="20" customFormat="1" ht="22.5" x14ac:dyDescent="0.2">
      <c r="A24" s="18" t="s">
        <v>28</v>
      </c>
      <c r="B24" s="19" t="s">
        <v>29</v>
      </c>
      <c r="C24" s="19" t="s">
        <v>30</v>
      </c>
      <c r="D24" s="19" t="s">
        <v>31</v>
      </c>
      <c r="E24" s="19" t="s">
        <v>32</v>
      </c>
      <c r="F24" s="19" t="s">
        <v>33</v>
      </c>
      <c r="G24" s="19" t="s">
        <v>34</v>
      </c>
      <c r="H24" s="19" t="s">
        <v>35</v>
      </c>
      <c r="I24" s="19" t="s">
        <v>36</v>
      </c>
      <c r="J24" s="19" t="s">
        <v>37</v>
      </c>
      <c r="K24" s="19" t="s">
        <v>38</v>
      </c>
      <c r="L24" s="19" t="s">
        <v>39</v>
      </c>
    </row>
    <row r="25" spans="1:12" ht="22.5" x14ac:dyDescent="0.2">
      <c r="A25" s="21">
        <v>181</v>
      </c>
      <c r="B25" s="22">
        <v>483</v>
      </c>
      <c r="C25" s="23" t="s">
        <v>213</v>
      </c>
      <c r="D25" s="24">
        <v>67784181</v>
      </c>
      <c r="E25" s="25" t="s">
        <v>214</v>
      </c>
      <c r="F25" s="26">
        <v>45819</v>
      </c>
      <c r="G25" s="25">
        <v>3073061</v>
      </c>
      <c r="H25" s="23" t="s">
        <v>42</v>
      </c>
      <c r="I25" s="25" t="s">
        <v>43</v>
      </c>
      <c r="J25" s="27">
        <v>66</v>
      </c>
      <c r="K25" s="27">
        <v>55.92</v>
      </c>
      <c r="L25" s="27">
        <v>10.08</v>
      </c>
    </row>
    <row r="26" spans="1:12" ht="22.5" x14ac:dyDescent="0.2">
      <c r="A26" s="21">
        <v>182</v>
      </c>
      <c r="B26" s="22">
        <v>483</v>
      </c>
      <c r="C26" s="23" t="s">
        <v>213</v>
      </c>
      <c r="D26" s="24">
        <v>67784181</v>
      </c>
      <c r="E26" s="25" t="s">
        <v>214</v>
      </c>
      <c r="F26" s="26">
        <v>45811</v>
      </c>
      <c r="G26" s="25">
        <v>7301021</v>
      </c>
      <c r="H26" s="23" t="s">
        <v>56</v>
      </c>
      <c r="I26" s="25" t="s">
        <v>57</v>
      </c>
      <c r="J26" s="27">
        <v>189</v>
      </c>
      <c r="K26" s="27">
        <v>124.97</v>
      </c>
      <c r="L26" s="27">
        <v>64.03</v>
      </c>
    </row>
    <row r="27" spans="1:12" ht="22.5" x14ac:dyDescent="0.2">
      <c r="A27" s="21">
        <v>183</v>
      </c>
      <c r="B27" s="22">
        <v>483</v>
      </c>
      <c r="C27" s="23" t="s">
        <v>215</v>
      </c>
      <c r="D27" s="24">
        <v>67937581</v>
      </c>
      <c r="E27" s="25" t="s">
        <v>216</v>
      </c>
      <c r="F27" s="26">
        <v>45824</v>
      </c>
      <c r="G27" s="25">
        <v>3073061</v>
      </c>
      <c r="H27" s="23" t="s">
        <v>42</v>
      </c>
      <c r="I27" s="25" t="s">
        <v>43</v>
      </c>
      <c r="J27" s="27">
        <v>66</v>
      </c>
      <c r="K27" s="27">
        <v>58.8</v>
      </c>
      <c r="L27" s="27">
        <v>7.2</v>
      </c>
    </row>
    <row r="28" spans="1:12" x14ac:dyDescent="0.2">
      <c r="B28" s="12"/>
      <c r="C28" s="28"/>
      <c r="D28" s="29"/>
      <c r="E28" s="12"/>
      <c r="F28" s="12"/>
      <c r="G28" s="12"/>
      <c r="H28" s="30"/>
      <c r="I28" s="30"/>
      <c r="J28" s="30"/>
      <c r="K28" s="11"/>
      <c r="L28" s="11"/>
    </row>
    <row r="29" spans="1:12" x14ac:dyDescent="0.2">
      <c r="B29" s="12"/>
      <c r="C29" s="28"/>
      <c r="D29" s="29"/>
      <c r="E29" s="15"/>
      <c r="F29" s="15"/>
      <c r="G29" s="15"/>
      <c r="H29" s="15"/>
      <c r="I29" s="30"/>
      <c r="J29" s="30"/>
      <c r="K29" s="11"/>
      <c r="L29" s="11"/>
    </row>
    <row r="30" spans="1:12" x14ac:dyDescent="0.2">
      <c r="B30" s="12"/>
      <c r="C30" s="28"/>
      <c r="D30" s="29"/>
      <c r="E30" s="12"/>
      <c r="F30" s="11"/>
      <c r="G30" s="11"/>
      <c r="H30" s="11"/>
      <c r="I30" s="30"/>
      <c r="J30" s="30"/>
      <c r="K30" s="11"/>
      <c r="L30" s="11"/>
    </row>
    <row r="31" spans="1:12" ht="13.5" thickBot="1" x14ac:dyDescent="0.25">
      <c r="B31" s="12"/>
      <c r="C31" s="28"/>
      <c r="D31" s="11" t="s">
        <v>62</v>
      </c>
      <c r="E31" s="31"/>
      <c r="F31" s="31"/>
      <c r="G31" s="31"/>
      <c r="H31" s="32"/>
      <c r="I31" s="11"/>
      <c r="J31" s="30"/>
      <c r="K31" s="11"/>
      <c r="L31" s="33">
        <v>81.31</v>
      </c>
    </row>
    <row r="32" spans="1:12" ht="13.5" thickTop="1" x14ac:dyDescent="0.2">
      <c r="B32" s="12"/>
      <c r="C32" s="28"/>
      <c r="D32" s="35"/>
      <c r="E32" s="31"/>
      <c r="F32" s="31"/>
      <c r="G32" s="31"/>
      <c r="H32" s="32"/>
      <c r="I32" s="11"/>
      <c r="J32" s="30"/>
      <c r="K32" s="11"/>
      <c r="L32" s="36"/>
    </row>
    <row r="36" spans="3:11" ht="59.65" customHeight="1" x14ac:dyDescent="0.25">
      <c r="C36"/>
      <c r="D36"/>
      <c r="E36"/>
      <c r="F36"/>
      <c r="G36"/>
      <c r="H36"/>
      <c r="I36"/>
      <c r="J36"/>
      <c r="K36"/>
    </row>
  </sheetData>
  <mergeCells count="4">
    <mergeCell ref="I14:J14"/>
    <mergeCell ref="B16:L16"/>
    <mergeCell ref="B17:L17"/>
    <mergeCell ref="J21:K21"/>
  </mergeCells>
  <dataValidations count="1">
    <dataValidation type="list" allowBlank="1" showInputMessage="1" showErrorMessage="1" sqref="C19:D19" xr:uid="{7D0A48C4-CF8B-4D08-BF53-61D6C3C64926}">
      <formula1>#REF!</formula1>
    </dataValidation>
  </dataValidations>
  <pageMargins left="0.25" right="0.25" top="0.5" bottom="0.5" header="0.3" footer="0.3"/>
  <pageSetup scale="97" fitToHeight="0" orientation="landscape" r:id="rId1"/>
  <headerFooter differentFirst="1">
    <oddFooter>&amp;L&amp;P</oddFooter>
    <firstFooter>&amp;L&amp;P&amp;C&amp;"Calibri,Bold"YOUR PROMPT PAYMENT WILL BE GREATLY APPRECIATED.
IF ANY OF THESE CLAIMS WERE BILLED IN ERROR, PLEASE EMAIL YVONNE AGUILAR  AT YVONNE.AGUILAR@BANNERHEALTH.COM, SO WE CAN BILL THE PATIENT IN A TIMELY MANNER.  THANK YOU.</first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600F8-6C42-455E-80F7-B073E5D3C6AF}">
  <sheetPr>
    <tabColor rgb="FFFFFF00"/>
    <pageSetUpPr fitToPage="1"/>
  </sheetPr>
  <dimension ref="A1:O45"/>
  <sheetViews>
    <sheetView topLeftCell="B1" zoomScaleNormal="100" workbookViewId="0">
      <selection activeCell="F19" sqref="F19"/>
    </sheetView>
  </sheetViews>
  <sheetFormatPr defaultColWidth="8.85546875" defaultRowHeight="12.75" x14ac:dyDescent="0.2"/>
  <cols>
    <col min="1" max="1" width="8.85546875" style="2" hidden="1" customWidth="1"/>
    <col min="2" max="2" width="13.28515625" style="2" customWidth="1"/>
    <col min="3" max="3" width="14.5703125" style="2" customWidth="1"/>
    <col min="4" max="4" width="14" style="2" customWidth="1"/>
    <col min="5" max="5" width="18.42578125" style="2" customWidth="1"/>
    <col min="6" max="7" width="11.42578125" style="2" customWidth="1"/>
    <col min="8" max="8" width="8.85546875" style="2"/>
    <col min="9" max="9" width="19.7109375" style="2" customWidth="1"/>
    <col min="10" max="10" width="10.28515625" style="2" customWidth="1"/>
    <col min="11" max="11" width="11.85546875" style="2" customWidth="1"/>
    <col min="12" max="12" width="9.5703125" style="2" customWidth="1"/>
    <col min="13" max="16384" width="8.85546875" style="2"/>
  </cols>
  <sheetData>
    <row r="1" spans="2:12" x14ac:dyDescent="0.2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x14ac:dyDescent="0.2">
      <c r="B2" s="1"/>
      <c r="C2" s="1"/>
      <c r="D2" s="1"/>
      <c r="E2" s="1"/>
      <c r="F2" s="1"/>
      <c r="G2" s="37" t="s">
        <v>311</v>
      </c>
      <c r="H2" s="1"/>
      <c r="I2" s="3" t="s">
        <v>0</v>
      </c>
      <c r="J2" s="4" t="s">
        <v>217</v>
      </c>
      <c r="K2" s="1"/>
      <c r="L2" s="1"/>
    </row>
    <row r="3" spans="2:12" x14ac:dyDescent="0.2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2:12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2:12" x14ac:dyDescent="0.2"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2:12" ht="4.9000000000000004" customHeight="1" x14ac:dyDescent="0.2"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2:12" x14ac:dyDescent="0.2">
      <c r="B7" s="3" t="s">
        <v>2</v>
      </c>
      <c r="C7" s="1"/>
      <c r="D7" s="1"/>
      <c r="E7" s="1"/>
      <c r="F7" s="1"/>
      <c r="G7" s="1"/>
      <c r="H7" s="1"/>
      <c r="I7" s="5" t="s">
        <v>3</v>
      </c>
      <c r="J7" s="1"/>
      <c r="K7" s="1"/>
      <c r="L7" s="1"/>
    </row>
    <row r="8" spans="2:12" x14ac:dyDescent="0.2">
      <c r="B8" s="3" t="s">
        <v>4</v>
      </c>
      <c r="C8" s="1"/>
      <c r="D8" s="1"/>
      <c r="E8" s="1"/>
      <c r="F8" s="1"/>
      <c r="G8" s="1"/>
      <c r="H8" s="1"/>
      <c r="I8" s="3" t="s">
        <v>5</v>
      </c>
      <c r="J8" s="1"/>
      <c r="K8" s="1"/>
      <c r="L8" s="1"/>
    </row>
    <row r="9" spans="2:12" x14ac:dyDescent="0.2">
      <c r="B9" s="3" t="s">
        <v>6</v>
      </c>
      <c r="C9" s="1"/>
      <c r="D9" s="1"/>
      <c r="E9" s="1"/>
      <c r="F9" s="1"/>
      <c r="G9" s="1"/>
      <c r="H9" s="1"/>
      <c r="I9" s="3" t="s">
        <v>7</v>
      </c>
      <c r="J9" s="1"/>
      <c r="K9" s="1"/>
      <c r="L9" s="1"/>
    </row>
    <row r="10" spans="2:12" x14ac:dyDescent="0.2">
      <c r="B10" s="3" t="s">
        <v>8</v>
      </c>
      <c r="C10" s="1"/>
      <c r="D10" s="1"/>
      <c r="E10" s="1"/>
      <c r="F10" s="1"/>
      <c r="G10" s="1"/>
      <c r="H10" s="1"/>
      <c r="I10" s="6" t="s">
        <v>9</v>
      </c>
      <c r="J10" s="1"/>
      <c r="K10" s="1"/>
      <c r="L10" s="1"/>
    </row>
    <row r="11" spans="2:12" x14ac:dyDescent="0.2">
      <c r="B11" s="3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2:12" x14ac:dyDescent="0.2">
      <c r="B12" s="3" t="s">
        <v>11</v>
      </c>
      <c r="C12" s="1"/>
      <c r="D12" s="1"/>
      <c r="E12" s="1"/>
      <c r="F12" s="1"/>
      <c r="G12" s="1"/>
      <c r="H12" s="1"/>
      <c r="I12" s="6" t="s">
        <v>12</v>
      </c>
      <c r="J12" s="6" t="s">
        <v>13</v>
      </c>
      <c r="K12" s="6"/>
      <c r="L12" s="1"/>
    </row>
    <row r="13" spans="2:12" ht="4.1500000000000004" customHeight="1" thickBot="1" x14ac:dyDescent="0.25">
      <c r="B13" s="3"/>
      <c r="C13" s="1"/>
      <c r="D13" s="1"/>
      <c r="E13" s="1"/>
      <c r="F13" s="6"/>
      <c r="G13" s="6"/>
      <c r="H13" s="6"/>
      <c r="I13" s="1"/>
      <c r="J13" s="1"/>
      <c r="K13" s="1"/>
      <c r="L13" s="1"/>
    </row>
    <row r="14" spans="2:12" ht="13.5" thickBot="1" x14ac:dyDescent="0.25">
      <c r="B14" s="7"/>
      <c r="C14" s="1"/>
      <c r="D14" s="1"/>
      <c r="E14" s="1"/>
      <c r="F14" s="1"/>
      <c r="G14" s="1"/>
      <c r="H14" s="1"/>
      <c r="I14" s="44" t="s">
        <v>14</v>
      </c>
      <c r="J14" s="45"/>
      <c r="K14" s="8" t="s">
        <v>15</v>
      </c>
      <c r="L14" s="9"/>
    </row>
    <row r="15" spans="2:12" ht="6" customHeight="1" thickBot="1" x14ac:dyDescent="0.25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2:12" ht="19.7" customHeight="1" thickTop="1" x14ac:dyDescent="0.2">
      <c r="B16" s="46" t="s">
        <v>16</v>
      </c>
      <c r="C16" s="46"/>
      <c r="D16" s="46"/>
      <c r="E16" s="46"/>
      <c r="F16" s="46"/>
      <c r="G16" s="46"/>
      <c r="H16" s="46"/>
      <c r="I16" s="46"/>
      <c r="J16" s="46"/>
      <c r="K16" s="46"/>
      <c r="L16" s="46"/>
    </row>
    <row r="17" spans="1:15" ht="15.6" customHeight="1" x14ac:dyDescent="0.2">
      <c r="B17" s="47">
        <v>45838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</row>
    <row r="18" spans="1:15" x14ac:dyDescent="0.2">
      <c r="B18" s="11" t="s">
        <v>17</v>
      </c>
      <c r="C18" s="11"/>
      <c r="D18" s="11"/>
      <c r="E18" s="12"/>
      <c r="F18" s="11"/>
      <c r="G18" s="11"/>
      <c r="H18" s="11"/>
      <c r="I18" s="1"/>
      <c r="J18" s="11"/>
      <c r="K18" s="11"/>
      <c r="L18" s="11"/>
    </row>
    <row r="19" spans="1:15" x14ac:dyDescent="0.2">
      <c r="A19" s="2" t="s">
        <v>18</v>
      </c>
      <c r="B19" s="11" t="s">
        <v>19</v>
      </c>
      <c r="C19" s="14" t="s">
        <v>218</v>
      </c>
      <c r="D19" s="11"/>
      <c r="E19" s="12"/>
      <c r="F19" s="1"/>
      <c r="G19" s="1"/>
      <c r="H19" s="1"/>
      <c r="I19" s="1"/>
      <c r="J19" s="1"/>
      <c r="K19" s="1"/>
      <c r="L19" s="11"/>
    </row>
    <row r="20" spans="1:15" ht="13.5" thickBot="1" x14ac:dyDescent="0.25">
      <c r="A20" s="2">
        <v>12</v>
      </c>
      <c r="B20" s="11" t="s">
        <v>21</v>
      </c>
      <c r="C20" s="14">
        <v>1903472445</v>
      </c>
      <c r="D20" s="11"/>
      <c r="E20" s="12"/>
      <c r="F20" s="15"/>
      <c r="G20" s="15"/>
      <c r="H20" s="16"/>
      <c r="I20" s="16"/>
      <c r="J20" s="11"/>
      <c r="K20" s="11"/>
      <c r="L20" s="11"/>
    </row>
    <row r="21" spans="1:15" ht="13.9" customHeight="1" thickBot="1" x14ac:dyDescent="0.25">
      <c r="A21" s="2" t="s">
        <v>22</v>
      </c>
      <c r="B21" s="11" t="s">
        <v>23</v>
      </c>
      <c r="C21" s="14">
        <v>4245920</v>
      </c>
      <c r="E21" s="12"/>
      <c r="F21" s="15"/>
      <c r="G21" s="15"/>
      <c r="H21" s="16"/>
      <c r="I21" s="17" t="s">
        <v>24</v>
      </c>
      <c r="J21" s="52" t="s">
        <v>25</v>
      </c>
      <c r="K21" s="49"/>
      <c r="L21" s="11"/>
    </row>
    <row r="22" spans="1:15" x14ac:dyDescent="0.2">
      <c r="A22" s="2">
        <v>0</v>
      </c>
      <c r="B22" s="11" t="s">
        <v>26</v>
      </c>
      <c r="C22" s="14" t="s">
        <v>27</v>
      </c>
      <c r="D22" s="11"/>
      <c r="E22" s="12"/>
      <c r="F22" s="12"/>
      <c r="G22" s="12"/>
      <c r="H22" s="11"/>
      <c r="I22" s="11"/>
      <c r="J22" s="11"/>
      <c r="K22" s="11"/>
      <c r="L22" s="11"/>
    </row>
    <row r="23" spans="1:15" ht="4.1500000000000004" customHeight="1" x14ac:dyDescent="0.2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</row>
    <row r="24" spans="1:15" s="20" customFormat="1" ht="22.5" x14ac:dyDescent="0.2">
      <c r="A24" s="18" t="s">
        <v>28</v>
      </c>
      <c r="B24" s="19" t="s">
        <v>29</v>
      </c>
      <c r="C24" s="19" t="s">
        <v>30</v>
      </c>
      <c r="D24" s="19" t="s">
        <v>31</v>
      </c>
      <c r="E24" s="19" t="s">
        <v>32</v>
      </c>
      <c r="F24" s="19" t="s">
        <v>33</v>
      </c>
      <c r="G24" s="19" t="s">
        <v>34</v>
      </c>
      <c r="H24" s="19" t="s">
        <v>35</v>
      </c>
      <c r="I24" s="19" t="s">
        <v>36</v>
      </c>
      <c r="J24" s="19" t="s">
        <v>37</v>
      </c>
      <c r="K24" s="19" t="s">
        <v>38</v>
      </c>
      <c r="L24" s="19" t="s">
        <v>39</v>
      </c>
    </row>
    <row r="25" spans="1:15" ht="22.5" x14ac:dyDescent="0.2">
      <c r="A25" s="21">
        <v>714</v>
      </c>
      <c r="B25" s="22">
        <v>483</v>
      </c>
      <c r="C25" s="23" t="s">
        <v>219</v>
      </c>
      <c r="D25" s="24">
        <v>67782185</v>
      </c>
      <c r="E25" s="25" t="s">
        <v>220</v>
      </c>
      <c r="F25" s="26">
        <v>45819</v>
      </c>
      <c r="G25" s="25">
        <v>3063641</v>
      </c>
      <c r="H25" s="23" t="s">
        <v>140</v>
      </c>
      <c r="I25" s="25" t="s">
        <v>141</v>
      </c>
      <c r="J25" s="27">
        <v>475</v>
      </c>
      <c r="K25" s="27">
        <v>460.22</v>
      </c>
      <c r="L25" s="27">
        <v>14.78</v>
      </c>
      <c r="N25" s="34"/>
      <c r="O25" s="34"/>
    </row>
    <row r="26" spans="1:15" x14ac:dyDescent="0.2">
      <c r="A26" s="21">
        <v>715</v>
      </c>
      <c r="B26" s="22">
        <v>483</v>
      </c>
      <c r="C26" s="23" t="s">
        <v>219</v>
      </c>
      <c r="D26" s="24">
        <v>67782185</v>
      </c>
      <c r="E26" s="25" t="s">
        <v>220</v>
      </c>
      <c r="F26" s="26">
        <v>45819</v>
      </c>
      <c r="G26" s="25">
        <v>3074085</v>
      </c>
      <c r="H26" s="23" t="s">
        <v>91</v>
      </c>
      <c r="I26" s="25" t="s">
        <v>92</v>
      </c>
      <c r="J26" s="27">
        <v>55</v>
      </c>
      <c r="K26" s="27">
        <v>46.54</v>
      </c>
      <c r="L26" s="27">
        <v>8.4600000000000009</v>
      </c>
      <c r="N26" s="34"/>
      <c r="O26" s="34"/>
    </row>
    <row r="27" spans="1:15" x14ac:dyDescent="0.2">
      <c r="A27" s="21">
        <v>716</v>
      </c>
      <c r="B27" s="22">
        <v>483</v>
      </c>
      <c r="C27" s="23" t="s">
        <v>219</v>
      </c>
      <c r="D27" s="24">
        <v>67782185</v>
      </c>
      <c r="E27" s="25" t="s">
        <v>220</v>
      </c>
      <c r="F27" s="26">
        <v>45819</v>
      </c>
      <c r="G27" s="25">
        <v>3074283</v>
      </c>
      <c r="H27" s="23" t="s">
        <v>221</v>
      </c>
      <c r="I27" s="25" t="s">
        <v>222</v>
      </c>
      <c r="J27" s="27">
        <v>121</v>
      </c>
      <c r="K27" s="27">
        <v>111.62</v>
      </c>
      <c r="L27" s="27">
        <v>9.3800000000000008</v>
      </c>
      <c r="N27" s="34"/>
      <c r="O27" s="34"/>
    </row>
    <row r="28" spans="1:15" ht="22.5" x14ac:dyDescent="0.2">
      <c r="A28" s="21">
        <v>717</v>
      </c>
      <c r="B28" s="22">
        <v>483</v>
      </c>
      <c r="C28" s="23" t="s">
        <v>219</v>
      </c>
      <c r="D28" s="24">
        <v>67782185</v>
      </c>
      <c r="E28" s="25" t="s">
        <v>220</v>
      </c>
      <c r="F28" s="26">
        <v>45819</v>
      </c>
      <c r="G28" s="25">
        <v>3075298</v>
      </c>
      <c r="H28" s="23" t="s">
        <v>157</v>
      </c>
      <c r="I28" s="25" t="s">
        <v>158</v>
      </c>
      <c r="J28" s="27">
        <v>51</v>
      </c>
      <c r="K28" s="27">
        <v>44.36</v>
      </c>
      <c r="L28" s="27">
        <v>6.64</v>
      </c>
      <c r="N28" s="34"/>
      <c r="O28" s="34"/>
    </row>
    <row r="29" spans="1:15" ht="22.5" x14ac:dyDescent="0.2">
      <c r="A29" s="21">
        <v>718</v>
      </c>
      <c r="B29" s="22">
        <v>483</v>
      </c>
      <c r="C29" s="23" t="s">
        <v>219</v>
      </c>
      <c r="D29" s="24">
        <v>67782185</v>
      </c>
      <c r="E29" s="25" t="s">
        <v>220</v>
      </c>
      <c r="F29" s="26">
        <v>45819</v>
      </c>
      <c r="G29" s="25">
        <v>3079688</v>
      </c>
      <c r="H29" s="23" t="s">
        <v>142</v>
      </c>
      <c r="I29" s="25" t="s">
        <v>143</v>
      </c>
      <c r="J29" s="27">
        <v>107</v>
      </c>
      <c r="K29" s="27">
        <v>96.12</v>
      </c>
      <c r="L29" s="27">
        <v>10.88</v>
      </c>
      <c r="N29" s="34"/>
      <c r="O29" s="34"/>
    </row>
    <row r="30" spans="1:15" ht="22.5" x14ac:dyDescent="0.2">
      <c r="A30" s="21">
        <v>719</v>
      </c>
      <c r="B30" s="22">
        <v>483</v>
      </c>
      <c r="C30" s="23" t="s">
        <v>219</v>
      </c>
      <c r="D30" s="24">
        <v>67782185</v>
      </c>
      <c r="E30" s="25" t="s">
        <v>220</v>
      </c>
      <c r="F30" s="26">
        <v>45812</v>
      </c>
      <c r="G30" s="25">
        <v>3086303</v>
      </c>
      <c r="H30" s="23" t="s">
        <v>52</v>
      </c>
      <c r="I30" s="25" t="s">
        <v>53</v>
      </c>
      <c r="J30" s="27">
        <v>87</v>
      </c>
      <c r="K30" s="27">
        <v>80.989999999999995</v>
      </c>
      <c r="L30" s="27">
        <v>6.01</v>
      </c>
      <c r="N30" s="34"/>
      <c r="O30" s="34"/>
    </row>
    <row r="31" spans="1:15" ht="22.5" x14ac:dyDescent="0.2">
      <c r="A31" s="21">
        <v>720</v>
      </c>
      <c r="B31" s="22">
        <v>483</v>
      </c>
      <c r="C31" s="23" t="s">
        <v>219</v>
      </c>
      <c r="D31" s="24">
        <v>67782185</v>
      </c>
      <c r="E31" s="25" t="s">
        <v>220</v>
      </c>
      <c r="F31" s="26">
        <v>45812</v>
      </c>
      <c r="G31" s="25">
        <v>3086428</v>
      </c>
      <c r="H31" s="23" t="s">
        <v>54</v>
      </c>
      <c r="I31" s="25" t="s">
        <v>55</v>
      </c>
      <c r="J31" s="27">
        <v>82</v>
      </c>
      <c r="K31" s="27">
        <v>73.59</v>
      </c>
      <c r="L31" s="27">
        <v>8.41</v>
      </c>
      <c r="N31" s="34"/>
      <c r="O31" s="34"/>
    </row>
    <row r="32" spans="1:15" ht="22.5" x14ac:dyDescent="0.2">
      <c r="A32" s="21">
        <v>721</v>
      </c>
      <c r="B32" s="22">
        <v>483</v>
      </c>
      <c r="C32" s="23" t="s">
        <v>223</v>
      </c>
      <c r="D32" s="24">
        <v>67900753</v>
      </c>
      <c r="E32" s="25" t="s">
        <v>224</v>
      </c>
      <c r="F32" s="26">
        <v>45826</v>
      </c>
      <c r="G32" s="25">
        <v>3063641</v>
      </c>
      <c r="H32" s="23" t="s">
        <v>140</v>
      </c>
      <c r="I32" s="25" t="s">
        <v>141</v>
      </c>
      <c r="J32" s="27">
        <v>475</v>
      </c>
      <c r="K32" s="27">
        <v>460.22</v>
      </c>
      <c r="L32" s="27">
        <v>14.78</v>
      </c>
      <c r="N32" s="34"/>
      <c r="O32" s="34"/>
    </row>
    <row r="33" spans="1:15" x14ac:dyDescent="0.2">
      <c r="A33" s="21">
        <v>722</v>
      </c>
      <c r="B33" s="22">
        <v>483</v>
      </c>
      <c r="C33" s="23" t="s">
        <v>223</v>
      </c>
      <c r="D33" s="24">
        <v>67900753</v>
      </c>
      <c r="E33" s="25" t="s">
        <v>224</v>
      </c>
      <c r="F33" s="26">
        <v>45826</v>
      </c>
      <c r="G33" s="25">
        <v>3074085</v>
      </c>
      <c r="H33" s="23" t="s">
        <v>91</v>
      </c>
      <c r="I33" s="25" t="s">
        <v>92</v>
      </c>
      <c r="J33" s="27">
        <v>55</v>
      </c>
      <c r="K33" s="27">
        <v>46.54</v>
      </c>
      <c r="L33" s="27">
        <v>8.4600000000000009</v>
      </c>
      <c r="N33" s="34"/>
      <c r="O33" s="34"/>
    </row>
    <row r="34" spans="1:15" x14ac:dyDescent="0.2">
      <c r="A34" s="21">
        <v>723</v>
      </c>
      <c r="B34" s="22">
        <v>483</v>
      </c>
      <c r="C34" s="23" t="s">
        <v>223</v>
      </c>
      <c r="D34" s="24">
        <v>67900753</v>
      </c>
      <c r="E34" s="25" t="s">
        <v>224</v>
      </c>
      <c r="F34" s="26">
        <v>45826</v>
      </c>
      <c r="G34" s="25">
        <v>3074283</v>
      </c>
      <c r="H34" s="23" t="s">
        <v>221</v>
      </c>
      <c r="I34" s="25" t="s">
        <v>222</v>
      </c>
      <c r="J34" s="27">
        <v>121</v>
      </c>
      <c r="K34" s="27">
        <v>111.62</v>
      </c>
      <c r="L34" s="27">
        <v>9.3800000000000008</v>
      </c>
      <c r="N34" s="34"/>
      <c r="O34" s="34"/>
    </row>
    <row r="35" spans="1:15" ht="22.5" x14ac:dyDescent="0.2">
      <c r="A35" s="21">
        <v>724</v>
      </c>
      <c r="B35" s="22">
        <v>483</v>
      </c>
      <c r="C35" s="23" t="s">
        <v>223</v>
      </c>
      <c r="D35" s="24">
        <v>67900753</v>
      </c>
      <c r="E35" s="25" t="s">
        <v>224</v>
      </c>
      <c r="F35" s="26">
        <v>45826</v>
      </c>
      <c r="G35" s="25">
        <v>3075298</v>
      </c>
      <c r="H35" s="23" t="s">
        <v>157</v>
      </c>
      <c r="I35" s="25" t="s">
        <v>158</v>
      </c>
      <c r="J35" s="27">
        <v>51</v>
      </c>
      <c r="K35" s="27">
        <v>44.36</v>
      </c>
      <c r="L35" s="27">
        <v>6.64</v>
      </c>
      <c r="N35" s="34"/>
      <c r="O35" s="34"/>
    </row>
    <row r="36" spans="1:15" ht="22.5" x14ac:dyDescent="0.2">
      <c r="A36" s="21">
        <v>725</v>
      </c>
      <c r="B36" s="22">
        <v>483</v>
      </c>
      <c r="C36" s="23" t="s">
        <v>223</v>
      </c>
      <c r="D36" s="24">
        <v>67900753</v>
      </c>
      <c r="E36" s="25" t="s">
        <v>224</v>
      </c>
      <c r="F36" s="26">
        <v>45826</v>
      </c>
      <c r="G36" s="25">
        <v>3079688</v>
      </c>
      <c r="H36" s="23" t="s">
        <v>142</v>
      </c>
      <c r="I36" s="25" t="s">
        <v>143</v>
      </c>
      <c r="J36" s="27">
        <v>107</v>
      </c>
      <c r="K36" s="27">
        <v>96.12</v>
      </c>
      <c r="L36" s="27">
        <v>10.88</v>
      </c>
      <c r="N36" s="34"/>
      <c r="O36" s="34"/>
    </row>
    <row r="37" spans="1:15" x14ac:dyDescent="0.2">
      <c r="B37" s="12"/>
      <c r="C37" s="28"/>
      <c r="D37" s="29"/>
      <c r="E37" s="12"/>
      <c r="F37" s="12"/>
      <c r="G37" s="12"/>
      <c r="H37" s="30"/>
      <c r="I37" s="30"/>
      <c r="J37" s="30"/>
      <c r="K37" s="36"/>
      <c r="L37" s="11"/>
    </row>
    <row r="38" spans="1:15" x14ac:dyDescent="0.2">
      <c r="B38" s="12"/>
      <c r="C38" s="28"/>
      <c r="D38" s="29"/>
      <c r="E38" s="15"/>
      <c r="F38" s="15"/>
      <c r="G38" s="15"/>
      <c r="H38" s="15"/>
      <c r="I38" s="30"/>
      <c r="J38" s="30"/>
      <c r="K38" s="11"/>
      <c r="L38" s="11"/>
    </row>
    <row r="39" spans="1:15" x14ac:dyDescent="0.2">
      <c r="B39" s="12"/>
      <c r="C39" s="28"/>
      <c r="D39" s="29"/>
      <c r="E39" s="12"/>
      <c r="F39" s="11"/>
      <c r="G39" s="11"/>
      <c r="H39" s="11"/>
      <c r="I39" s="30"/>
      <c r="J39" s="30"/>
      <c r="K39" s="11"/>
      <c r="L39" s="11"/>
    </row>
    <row r="40" spans="1:15" ht="13.5" thickBot="1" x14ac:dyDescent="0.25">
      <c r="B40" s="12"/>
      <c r="C40" s="28"/>
      <c r="D40" s="11" t="s">
        <v>62</v>
      </c>
      <c r="E40" s="31"/>
      <c r="F40" s="31"/>
      <c r="G40" s="31"/>
      <c r="H40" s="32"/>
      <c r="I40" s="11"/>
      <c r="J40" s="30"/>
      <c r="K40" s="11"/>
      <c r="L40" s="33">
        <v>114.7</v>
      </c>
    </row>
    <row r="41" spans="1:15" ht="13.5" thickTop="1" x14ac:dyDescent="0.2">
      <c r="B41" s="12"/>
      <c r="C41" s="28"/>
      <c r="D41" s="35"/>
      <c r="E41" s="31"/>
      <c r="F41" s="31"/>
      <c r="G41" s="31"/>
      <c r="H41" s="32"/>
      <c r="I41" s="11"/>
      <c r="J41" s="30"/>
      <c r="K41" s="11"/>
      <c r="L41" s="36"/>
    </row>
    <row r="45" spans="1:15" ht="59.65" customHeight="1" x14ac:dyDescent="0.25">
      <c r="C45"/>
      <c r="D45"/>
      <c r="E45"/>
      <c r="F45"/>
      <c r="G45"/>
      <c r="H45"/>
      <c r="I45"/>
      <c r="J45"/>
      <c r="K45"/>
    </row>
  </sheetData>
  <mergeCells count="4">
    <mergeCell ref="I14:J14"/>
    <mergeCell ref="B16:L16"/>
    <mergeCell ref="B17:L17"/>
    <mergeCell ref="J21:K21"/>
  </mergeCells>
  <dataValidations count="1">
    <dataValidation type="list" allowBlank="1" showInputMessage="1" showErrorMessage="1" sqref="C19:D19" xr:uid="{F1C920FE-3A29-4FC9-A3D8-72A059B53174}">
      <formula1>#REF!</formula1>
    </dataValidation>
  </dataValidations>
  <pageMargins left="0.25" right="0.25" top="0.5" bottom="0.5" header="0.3" footer="0.3"/>
  <pageSetup scale="94" fitToHeight="0" orientation="landscape" r:id="rId1"/>
  <headerFooter differentFirst="1">
    <oddFooter>&amp;L&amp;P</oddFooter>
    <firstFooter>&amp;L&amp;P&amp;C&amp;"Calibri,Bold"YOUR PROMPT PAYMENT WILL BE GREATLY APPRECIATED.
IF ANY OF THESE CLAIMS WERE BILLED IN ERROR, PLEASE EMAIL YVONNE AGUILAR  AT YVONNE.AGUILAR@BANNERHEALTH.COM, SO WE CAN BILL THE PATIENT IN A TIMELY MANNER.  THANK YOU.</first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4C1DF-DDD4-45BF-913F-3360EC966AA2}">
  <sheetPr>
    <tabColor rgb="FFFFFF00"/>
    <pageSetUpPr fitToPage="1"/>
  </sheetPr>
  <dimension ref="A1:O37"/>
  <sheetViews>
    <sheetView topLeftCell="B1" zoomScaleNormal="100" workbookViewId="0">
      <selection activeCell="G2" sqref="G2"/>
    </sheetView>
  </sheetViews>
  <sheetFormatPr defaultColWidth="8.85546875" defaultRowHeight="12.75" x14ac:dyDescent="0.2"/>
  <cols>
    <col min="1" max="1" width="8.85546875" style="2" hidden="1" customWidth="1"/>
    <col min="2" max="2" width="13.28515625" style="2" customWidth="1"/>
    <col min="3" max="3" width="14.5703125" style="2" customWidth="1"/>
    <col min="4" max="4" width="14" style="2" customWidth="1"/>
    <col min="5" max="5" width="18.42578125" style="2" customWidth="1"/>
    <col min="6" max="7" width="11.42578125" style="2" customWidth="1"/>
    <col min="8" max="8" width="8.85546875" style="2"/>
    <col min="9" max="9" width="19.7109375" style="2" customWidth="1"/>
    <col min="10" max="10" width="10.28515625" style="2" customWidth="1"/>
    <col min="11" max="11" width="11.85546875" style="2" customWidth="1"/>
    <col min="12" max="12" width="9.5703125" style="2" customWidth="1"/>
    <col min="13" max="16384" width="8.85546875" style="2"/>
  </cols>
  <sheetData>
    <row r="1" spans="2:12" x14ac:dyDescent="0.2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x14ac:dyDescent="0.2">
      <c r="B2" s="1"/>
      <c r="C2" s="1"/>
      <c r="D2" s="1"/>
      <c r="E2" s="1"/>
      <c r="F2" s="1"/>
      <c r="G2" s="37" t="s">
        <v>311</v>
      </c>
      <c r="H2" s="1"/>
      <c r="I2" s="3" t="s">
        <v>0</v>
      </c>
      <c r="J2" s="4" t="s">
        <v>225</v>
      </c>
      <c r="K2" s="1"/>
      <c r="L2" s="1"/>
    </row>
    <row r="3" spans="2:12" x14ac:dyDescent="0.2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2:12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2:12" x14ac:dyDescent="0.2"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2:12" ht="4.9000000000000004" customHeight="1" x14ac:dyDescent="0.2"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2:12" x14ac:dyDescent="0.2">
      <c r="B7" s="3" t="s">
        <v>2</v>
      </c>
      <c r="C7" s="1"/>
      <c r="D7" s="1"/>
      <c r="E7" s="1"/>
      <c r="F7" s="1"/>
      <c r="G7" s="1"/>
      <c r="H7" s="1"/>
      <c r="I7" s="5" t="s">
        <v>3</v>
      </c>
      <c r="J7" s="1"/>
      <c r="K7" s="1"/>
      <c r="L7" s="1"/>
    </row>
    <row r="8" spans="2:12" x14ac:dyDescent="0.2">
      <c r="B8" s="3" t="s">
        <v>4</v>
      </c>
      <c r="C8" s="1"/>
      <c r="D8" s="1"/>
      <c r="E8" s="1"/>
      <c r="F8" s="1"/>
      <c r="G8" s="1"/>
      <c r="H8" s="1"/>
      <c r="I8" s="3" t="s">
        <v>5</v>
      </c>
      <c r="J8" s="1"/>
      <c r="K8" s="1"/>
      <c r="L8" s="1"/>
    </row>
    <row r="9" spans="2:12" x14ac:dyDescent="0.2">
      <c r="B9" s="3" t="s">
        <v>6</v>
      </c>
      <c r="C9" s="1"/>
      <c r="D9" s="1"/>
      <c r="E9" s="1"/>
      <c r="F9" s="1"/>
      <c r="G9" s="1"/>
      <c r="H9" s="1"/>
      <c r="I9" s="3" t="s">
        <v>7</v>
      </c>
      <c r="J9" s="1"/>
      <c r="K9" s="1"/>
      <c r="L9" s="1"/>
    </row>
    <row r="10" spans="2:12" x14ac:dyDescent="0.2">
      <c r="B10" s="3" t="s">
        <v>8</v>
      </c>
      <c r="C10" s="1"/>
      <c r="D10" s="1"/>
      <c r="E10" s="1"/>
      <c r="F10" s="1"/>
      <c r="G10" s="1"/>
      <c r="H10" s="1"/>
      <c r="I10" s="6" t="s">
        <v>9</v>
      </c>
      <c r="J10" s="1"/>
      <c r="K10" s="1"/>
      <c r="L10" s="1"/>
    </row>
    <row r="11" spans="2:12" x14ac:dyDescent="0.2">
      <c r="B11" s="3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2:12" x14ac:dyDescent="0.2">
      <c r="B12" s="3" t="s">
        <v>11</v>
      </c>
      <c r="C12" s="1"/>
      <c r="D12" s="1"/>
      <c r="E12" s="1"/>
      <c r="F12" s="1"/>
      <c r="G12" s="1"/>
      <c r="H12" s="1"/>
      <c r="I12" s="6" t="s">
        <v>12</v>
      </c>
      <c r="J12" s="6" t="s">
        <v>13</v>
      </c>
      <c r="K12" s="6"/>
      <c r="L12" s="1"/>
    </row>
    <row r="13" spans="2:12" ht="4.1500000000000004" customHeight="1" thickBot="1" x14ac:dyDescent="0.25">
      <c r="B13" s="3"/>
      <c r="C13" s="1"/>
      <c r="D13" s="1"/>
      <c r="E13" s="1"/>
      <c r="F13" s="6"/>
      <c r="G13" s="6"/>
      <c r="H13" s="6"/>
      <c r="I13" s="1"/>
      <c r="J13" s="1"/>
      <c r="K13" s="1"/>
      <c r="L13" s="1"/>
    </row>
    <row r="14" spans="2:12" ht="13.5" thickBot="1" x14ac:dyDescent="0.25">
      <c r="B14" s="7"/>
      <c r="C14" s="1"/>
      <c r="D14" s="1"/>
      <c r="E14" s="1"/>
      <c r="F14" s="1"/>
      <c r="G14" s="1"/>
      <c r="H14" s="1"/>
      <c r="I14" s="44" t="s">
        <v>14</v>
      </c>
      <c r="J14" s="45"/>
      <c r="K14" s="8" t="s">
        <v>15</v>
      </c>
      <c r="L14" s="9"/>
    </row>
    <row r="15" spans="2:12" ht="6" customHeight="1" thickBot="1" x14ac:dyDescent="0.25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2:12" ht="19.7" customHeight="1" thickTop="1" x14ac:dyDescent="0.2">
      <c r="B16" s="46" t="s">
        <v>16</v>
      </c>
      <c r="C16" s="46"/>
      <c r="D16" s="46"/>
      <c r="E16" s="46"/>
      <c r="F16" s="46"/>
      <c r="G16" s="46"/>
      <c r="H16" s="46"/>
      <c r="I16" s="46"/>
      <c r="J16" s="46"/>
      <c r="K16" s="46"/>
      <c r="L16" s="46"/>
    </row>
    <row r="17" spans="1:15" ht="15.6" customHeight="1" x14ac:dyDescent="0.2">
      <c r="B17" s="47">
        <v>45838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</row>
    <row r="18" spans="1:15" x14ac:dyDescent="0.2">
      <c r="B18" s="11" t="s">
        <v>17</v>
      </c>
      <c r="C18" s="11"/>
      <c r="D18" s="11"/>
      <c r="E18" s="12"/>
      <c r="F18" s="11"/>
      <c r="G18" s="11"/>
      <c r="H18" s="11"/>
      <c r="I18" s="1"/>
      <c r="J18" s="11"/>
      <c r="K18" s="11"/>
      <c r="L18" s="11"/>
    </row>
    <row r="19" spans="1:15" x14ac:dyDescent="0.2">
      <c r="A19" s="2" t="s">
        <v>18</v>
      </c>
      <c r="B19" s="11" t="s">
        <v>19</v>
      </c>
      <c r="C19" s="14" t="s">
        <v>226</v>
      </c>
      <c r="D19" s="11"/>
      <c r="E19" s="12"/>
      <c r="F19" s="1"/>
      <c r="G19" s="1"/>
      <c r="H19" s="1"/>
      <c r="I19" s="1"/>
      <c r="J19" s="1"/>
      <c r="K19" s="1"/>
      <c r="L19" s="11"/>
    </row>
    <row r="20" spans="1:15" ht="13.5" thickBot="1" x14ac:dyDescent="0.25">
      <c r="A20" s="2">
        <v>4</v>
      </c>
      <c r="B20" s="11" t="s">
        <v>21</v>
      </c>
      <c r="C20" s="14">
        <v>5051</v>
      </c>
      <c r="D20" s="11"/>
      <c r="E20" s="12"/>
      <c r="F20" s="15"/>
      <c r="G20" s="15"/>
      <c r="H20" s="16"/>
      <c r="I20" s="16"/>
      <c r="J20" s="11"/>
      <c r="K20" s="11"/>
      <c r="L20" s="11"/>
    </row>
    <row r="21" spans="1:15" ht="13.9" customHeight="1" thickBot="1" x14ac:dyDescent="0.25">
      <c r="A21" s="2" t="s">
        <v>22</v>
      </c>
      <c r="B21" s="11" t="s">
        <v>23</v>
      </c>
      <c r="C21" s="14">
        <v>4274140</v>
      </c>
      <c r="E21" s="12"/>
      <c r="F21" s="15"/>
      <c r="G21" s="15"/>
      <c r="H21" s="16"/>
      <c r="I21" s="17" t="s">
        <v>24</v>
      </c>
      <c r="J21" s="52" t="s">
        <v>25</v>
      </c>
      <c r="K21" s="49"/>
      <c r="L21" s="11"/>
    </row>
    <row r="22" spans="1:15" x14ac:dyDescent="0.2">
      <c r="A22" s="2">
        <v>0</v>
      </c>
      <c r="B22" s="11" t="s">
        <v>26</v>
      </c>
      <c r="C22" s="14" t="s">
        <v>27</v>
      </c>
      <c r="D22" s="11"/>
      <c r="E22" s="12"/>
      <c r="F22" s="12"/>
      <c r="G22" s="12"/>
      <c r="H22" s="11"/>
      <c r="I22" s="11"/>
      <c r="J22" s="11"/>
      <c r="K22" s="11"/>
      <c r="L22" s="11"/>
    </row>
    <row r="23" spans="1:15" ht="4.1500000000000004" customHeight="1" x14ac:dyDescent="0.2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</row>
    <row r="24" spans="1:15" s="20" customFormat="1" ht="22.5" x14ac:dyDescent="0.2">
      <c r="A24" s="18" t="s">
        <v>28</v>
      </c>
      <c r="B24" s="19" t="s">
        <v>29</v>
      </c>
      <c r="C24" s="19" t="s">
        <v>30</v>
      </c>
      <c r="D24" s="19" t="s">
        <v>31</v>
      </c>
      <c r="E24" s="19" t="s">
        <v>32</v>
      </c>
      <c r="F24" s="19" t="s">
        <v>33</v>
      </c>
      <c r="G24" s="19" t="s">
        <v>34</v>
      </c>
      <c r="H24" s="19" t="s">
        <v>35</v>
      </c>
      <c r="I24" s="19" t="s">
        <v>36</v>
      </c>
      <c r="J24" s="19" t="s">
        <v>37</v>
      </c>
      <c r="K24" s="19" t="s">
        <v>38</v>
      </c>
      <c r="L24" s="19" t="s">
        <v>39</v>
      </c>
    </row>
    <row r="25" spans="1:15" ht="22.5" x14ac:dyDescent="0.2">
      <c r="A25" s="21">
        <v>694</v>
      </c>
      <c r="B25" s="22">
        <v>484</v>
      </c>
      <c r="C25" s="23" t="s">
        <v>227</v>
      </c>
      <c r="D25" s="24">
        <v>45708849</v>
      </c>
      <c r="E25" s="25" t="s">
        <v>228</v>
      </c>
      <c r="F25" s="26">
        <v>45838</v>
      </c>
      <c r="G25" s="25">
        <v>3522745</v>
      </c>
      <c r="H25" s="23" t="s">
        <v>229</v>
      </c>
      <c r="I25" s="25" t="s">
        <v>230</v>
      </c>
      <c r="J25" s="27">
        <v>2538</v>
      </c>
      <c r="K25" s="27">
        <v>1734.98</v>
      </c>
      <c r="L25" s="27">
        <v>803.02</v>
      </c>
      <c r="N25" s="34"/>
      <c r="O25" s="34"/>
    </row>
    <row r="26" spans="1:15" ht="22.5" x14ac:dyDescent="0.2">
      <c r="A26" s="21">
        <v>695</v>
      </c>
      <c r="B26" s="22">
        <v>484</v>
      </c>
      <c r="C26" s="23" t="s">
        <v>227</v>
      </c>
      <c r="D26" s="24">
        <v>45708849</v>
      </c>
      <c r="E26" s="25" t="s">
        <v>228</v>
      </c>
      <c r="F26" s="26">
        <v>45838</v>
      </c>
      <c r="G26" s="25">
        <v>3522893</v>
      </c>
      <c r="H26" s="23" t="s">
        <v>77</v>
      </c>
      <c r="I26" s="25" t="s">
        <v>78</v>
      </c>
      <c r="J26" s="27">
        <v>2518</v>
      </c>
      <c r="K26" s="27">
        <v>1721.3</v>
      </c>
      <c r="L26" s="27">
        <v>796.7</v>
      </c>
      <c r="N26" s="34"/>
      <c r="O26" s="34"/>
    </row>
    <row r="27" spans="1:15" ht="22.5" x14ac:dyDescent="0.2">
      <c r="A27" s="21">
        <v>696</v>
      </c>
      <c r="B27" s="22">
        <v>484</v>
      </c>
      <c r="C27" s="23" t="s">
        <v>227</v>
      </c>
      <c r="D27" s="24">
        <v>45708849</v>
      </c>
      <c r="E27" s="25" t="s">
        <v>228</v>
      </c>
      <c r="F27" s="26">
        <v>45838</v>
      </c>
      <c r="G27" s="25">
        <v>3528965</v>
      </c>
      <c r="H27" s="23" t="s">
        <v>127</v>
      </c>
      <c r="I27" s="25" t="s">
        <v>128</v>
      </c>
      <c r="J27" s="27">
        <v>3299</v>
      </c>
      <c r="K27" s="27">
        <v>2255.1999999999998</v>
      </c>
      <c r="L27" s="27">
        <v>1043.8</v>
      </c>
      <c r="N27" s="34"/>
      <c r="O27" s="34"/>
    </row>
    <row r="28" spans="1:15" ht="22.5" x14ac:dyDescent="0.2">
      <c r="A28" s="21">
        <v>697</v>
      </c>
      <c r="B28" s="22">
        <v>484</v>
      </c>
      <c r="C28" s="23" t="s">
        <v>227</v>
      </c>
      <c r="D28" s="24">
        <v>45708849</v>
      </c>
      <c r="E28" s="25" t="s">
        <v>228</v>
      </c>
      <c r="F28" s="26">
        <v>45838</v>
      </c>
      <c r="G28" s="25">
        <v>6868061</v>
      </c>
      <c r="H28" s="23" t="s">
        <v>79</v>
      </c>
      <c r="I28" s="25" t="s">
        <v>80</v>
      </c>
      <c r="J28" s="27">
        <v>60</v>
      </c>
      <c r="K28" s="27">
        <v>41.01</v>
      </c>
      <c r="L28" s="27">
        <v>18.990000000000002</v>
      </c>
      <c r="N28" s="34"/>
      <c r="O28" s="34"/>
    </row>
    <row r="29" spans="1:15" x14ac:dyDescent="0.2">
      <c r="B29" s="12"/>
      <c r="C29" s="28"/>
      <c r="D29" s="29"/>
      <c r="E29" s="12"/>
      <c r="F29" s="12"/>
      <c r="G29" s="12"/>
      <c r="H29" s="30"/>
      <c r="I29" s="30"/>
      <c r="J29" s="30"/>
      <c r="K29" s="36"/>
      <c r="L29" s="11"/>
    </row>
    <row r="30" spans="1:15" x14ac:dyDescent="0.2">
      <c r="B30" s="12"/>
      <c r="C30" s="28"/>
      <c r="D30" s="29"/>
      <c r="E30" s="15"/>
      <c r="F30" s="15"/>
      <c r="G30" s="15"/>
      <c r="H30" s="15"/>
      <c r="I30" s="30"/>
      <c r="J30" s="30"/>
      <c r="K30" s="11"/>
      <c r="L30" s="11"/>
    </row>
    <row r="31" spans="1:15" x14ac:dyDescent="0.2">
      <c r="B31" s="12"/>
      <c r="C31" s="28"/>
      <c r="D31" s="29"/>
      <c r="E31" s="12"/>
      <c r="F31" s="11"/>
      <c r="G31" s="11"/>
      <c r="H31" s="11"/>
      <c r="I31" s="30"/>
      <c r="J31" s="30"/>
      <c r="K31" s="11"/>
      <c r="L31" s="11"/>
    </row>
    <row r="32" spans="1:15" ht="13.5" thickBot="1" x14ac:dyDescent="0.25">
      <c r="B32" s="12"/>
      <c r="C32" s="28"/>
      <c r="D32" s="11" t="s">
        <v>62</v>
      </c>
      <c r="E32" s="31"/>
      <c r="F32" s="31"/>
      <c r="G32" s="31"/>
      <c r="H32" s="32"/>
      <c r="I32" s="11"/>
      <c r="J32" s="30"/>
      <c r="K32" s="11"/>
      <c r="L32" s="33">
        <v>2662.5099999999998</v>
      </c>
    </row>
    <row r="33" spans="2:12" ht="13.5" thickTop="1" x14ac:dyDescent="0.2">
      <c r="B33" s="12"/>
      <c r="C33" s="28"/>
      <c r="D33" s="35"/>
      <c r="E33" s="31"/>
      <c r="F33" s="31"/>
      <c r="G33" s="31"/>
      <c r="H33" s="32"/>
      <c r="I33" s="11"/>
      <c r="J33" s="30"/>
      <c r="K33" s="11"/>
      <c r="L33" s="36"/>
    </row>
    <row r="37" spans="2:12" ht="59.65" customHeight="1" x14ac:dyDescent="0.25">
      <c r="C37"/>
      <c r="D37"/>
      <c r="E37"/>
      <c r="F37"/>
      <c r="G37"/>
      <c r="H37"/>
      <c r="I37"/>
      <c r="J37"/>
      <c r="K37"/>
    </row>
  </sheetData>
  <mergeCells count="4">
    <mergeCell ref="I14:J14"/>
    <mergeCell ref="B16:L16"/>
    <mergeCell ref="B17:L17"/>
    <mergeCell ref="J21:K21"/>
  </mergeCells>
  <dataValidations count="1">
    <dataValidation type="list" allowBlank="1" showInputMessage="1" showErrorMessage="1" sqref="C19:D19" xr:uid="{FDB93284-C31A-43C6-B4B0-19781A030712}">
      <formula1>#REF!</formula1>
    </dataValidation>
  </dataValidations>
  <pageMargins left="0.25" right="0.25" top="0.5" bottom="0.5" header="0.3" footer="0.3"/>
  <pageSetup scale="94" fitToHeight="0" orientation="landscape" r:id="rId1"/>
  <headerFooter differentFirst="1">
    <oddFooter>&amp;L&amp;P</oddFooter>
    <firstFooter>&amp;L&amp;P&amp;C&amp;"Calibri,Bold"YOUR PROMPT PAYMENT WILL BE GREATLY APPRECIATED.
IF ANY OF THESE CLAIMS WERE BILLED IN ERROR, PLEASE EMAIL YVONNE AGUILAR  AT YVONNE.AGUILAR@BANNERHEALTH.COM, SO WE CAN BILL THE PATIENT IN A TIMELY MANNER.  THANK YOU.</first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E8FF0-6B9F-4B9A-B7BD-4545704DBF17}">
  <sheetPr>
    <tabColor rgb="FFFFFF00"/>
    <pageSetUpPr fitToPage="1"/>
  </sheetPr>
  <dimension ref="A1:O43"/>
  <sheetViews>
    <sheetView topLeftCell="B1" zoomScaleNormal="100" workbookViewId="0">
      <selection activeCell="G2" sqref="G2"/>
    </sheetView>
  </sheetViews>
  <sheetFormatPr defaultColWidth="8.85546875" defaultRowHeight="12.75" x14ac:dyDescent="0.2"/>
  <cols>
    <col min="1" max="1" width="8.85546875" style="2" hidden="1" customWidth="1"/>
    <col min="2" max="2" width="13.28515625" style="2" customWidth="1"/>
    <col min="3" max="3" width="14.5703125" style="2" customWidth="1"/>
    <col min="4" max="4" width="14" style="2" customWidth="1"/>
    <col min="5" max="5" width="18.42578125" style="2" customWidth="1"/>
    <col min="6" max="7" width="11.42578125" style="2" customWidth="1"/>
    <col min="8" max="8" width="8.85546875" style="2"/>
    <col min="9" max="9" width="19.7109375" style="2" customWidth="1"/>
    <col min="10" max="10" width="10.28515625" style="2" customWidth="1"/>
    <col min="11" max="11" width="11.85546875" style="2" customWidth="1"/>
    <col min="12" max="12" width="9.5703125" style="2" customWidth="1"/>
    <col min="13" max="16384" width="8.85546875" style="2"/>
  </cols>
  <sheetData>
    <row r="1" spans="2:12" x14ac:dyDescent="0.2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x14ac:dyDescent="0.2">
      <c r="B2" s="1"/>
      <c r="C2" s="1"/>
      <c r="D2" s="1"/>
      <c r="E2" s="1"/>
      <c r="F2" s="1"/>
      <c r="G2" s="37" t="s">
        <v>311</v>
      </c>
      <c r="H2" s="1"/>
      <c r="I2" s="3" t="s">
        <v>0</v>
      </c>
      <c r="J2" s="4" t="s">
        <v>231</v>
      </c>
      <c r="K2" s="1"/>
      <c r="L2" s="1"/>
    </row>
    <row r="3" spans="2:12" x14ac:dyDescent="0.2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2:12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2:12" x14ac:dyDescent="0.2"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2:12" ht="4.9000000000000004" customHeight="1" x14ac:dyDescent="0.2"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2:12" x14ac:dyDescent="0.2">
      <c r="B7" s="3" t="s">
        <v>2</v>
      </c>
      <c r="C7" s="1"/>
      <c r="D7" s="1"/>
      <c r="E7" s="1"/>
      <c r="F7" s="1"/>
      <c r="G7" s="1"/>
      <c r="H7" s="1"/>
      <c r="I7" s="5" t="s">
        <v>3</v>
      </c>
      <c r="J7" s="1"/>
      <c r="K7" s="1"/>
      <c r="L7" s="1"/>
    </row>
    <row r="8" spans="2:12" x14ac:dyDescent="0.2">
      <c r="B8" s="3" t="s">
        <v>4</v>
      </c>
      <c r="C8" s="1"/>
      <c r="D8" s="1"/>
      <c r="E8" s="1"/>
      <c r="F8" s="1"/>
      <c r="G8" s="1"/>
      <c r="H8" s="1"/>
      <c r="I8" s="3" t="s">
        <v>5</v>
      </c>
      <c r="J8" s="1"/>
      <c r="K8" s="1"/>
      <c r="L8" s="1"/>
    </row>
    <row r="9" spans="2:12" x14ac:dyDescent="0.2">
      <c r="B9" s="3" t="s">
        <v>6</v>
      </c>
      <c r="C9" s="1"/>
      <c r="D9" s="1"/>
      <c r="E9" s="1"/>
      <c r="F9" s="1"/>
      <c r="G9" s="1"/>
      <c r="H9" s="1"/>
      <c r="I9" s="3" t="s">
        <v>7</v>
      </c>
      <c r="J9" s="1"/>
      <c r="K9" s="1"/>
      <c r="L9" s="1"/>
    </row>
    <row r="10" spans="2:12" x14ac:dyDescent="0.2">
      <c r="B10" s="3" t="s">
        <v>8</v>
      </c>
      <c r="C10" s="1"/>
      <c r="D10" s="1"/>
      <c r="E10" s="1"/>
      <c r="F10" s="1"/>
      <c r="G10" s="1"/>
      <c r="H10" s="1"/>
      <c r="I10" s="6" t="s">
        <v>9</v>
      </c>
      <c r="J10" s="1"/>
      <c r="K10" s="1"/>
      <c r="L10" s="1"/>
    </row>
    <row r="11" spans="2:12" x14ac:dyDescent="0.2">
      <c r="B11" s="3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2:12" x14ac:dyDescent="0.2">
      <c r="B12" s="3" t="s">
        <v>11</v>
      </c>
      <c r="C12" s="1"/>
      <c r="D12" s="1"/>
      <c r="E12" s="1"/>
      <c r="F12" s="1"/>
      <c r="G12" s="1"/>
      <c r="H12" s="1"/>
      <c r="I12" s="6" t="s">
        <v>12</v>
      </c>
      <c r="J12" s="6" t="s">
        <v>13</v>
      </c>
      <c r="K12" s="6"/>
      <c r="L12" s="1"/>
    </row>
    <row r="13" spans="2:12" ht="4.1500000000000004" customHeight="1" thickBot="1" x14ac:dyDescent="0.25">
      <c r="B13" s="3"/>
      <c r="C13" s="1"/>
      <c r="D13" s="1"/>
      <c r="E13" s="1"/>
      <c r="F13" s="6"/>
      <c r="G13" s="6"/>
      <c r="H13" s="6"/>
      <c r="I13" s="1"/>
      <c r="J13" s="1"/>
      <c r="K13" s="1"/>
      <c r="L13" s="1"/>
    </row>
    <row r="14" spans="2:12" ht="13.5" thickBot="1" x14ac:dyDescent="0.25">
      <c r="B14" s="7"/>
      <c r="C14" s="1"/>
      <c r="D14" s="1"/>
      <c r="E14" s="1"/>
      <c r="F14" s="1"/>
      <c r="G14" s="1"/>
      <c r="H14" s="1"/>
      <c r="I14" s="44" t="s">
        <v>14</v>
      </c>
      <c r="J14" s="45"/>
      <c r="K14" s="8" t="s">
        <v>15</v>
      </c>
      <c r="L14" s="9"/>
    </row>
    <row r="15" spans="2:12" ht="6" customHeight="1" thickBot="1" x14ac:dyDescent="0.25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2:12" ht="19.7" customHeight="1" thickTop="1" x14ac:dyDescent="0.2">
      <c r="B16" s="46" t="s">
        <v>16</v>
      </c>
      <c r="C16" s="46"/>
      <c r="D16" s="46"/>
      <c r="E16" s="46"/>
      <c r="F16" s="46"/>
      <c r="G16" s="46"/>
      <c r="H16" s="46"/>
      <c r="I16" s="46"/>
      <c r="J16" s="46"/>
      <c r="K16" s="46"/>
      <c r="L16" s="46"/>
    </row>
    <row r="17" spans="1:15" ht="15.6" customHeight="1" x14ac:dyDescent="0.2">
      <c r="B17" s="47">
        <v>45838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</row>
    <row r="18" spans="1:15" x14ac:dyDescent="0.2">
      <c r="B18" s="11" t="s">
        <v>17</v>
      </c>
      <c r="C18" s="11"/>
      <c r="D18" s="11"/>
      <c r="E18" s="12"/>
      <c r="F18" s="11"/>
      <c r="G18" s="11"/>
      <c r="H18" s="11"/>
      <c r="I18" s="1"/>
      <c r="J18" s="11"/>
      <c r="K18" s="11"/>
      <c r="L18" s="11"/>
    </row>
    <row r="19" spans="1:15" x14ac:dyDescent="0.2">
      <c r="A19" s="2" t="s">
        <v>18</v>
      </c>
      <c r="B19" s="11" t="s">
        <v>19</v>
      </c>
      <c r="C19" s="14" t="s">
        <v>232</v>
      </c>
      <c r="D19" s="11"/>
      <c r="E19" s="12"/>
      <c r="F19" s="1"/>
      <c r="G19" s="1"/>
      <c r="H19" s="1"/>
      <c r="I19" s="1"/>
      <c r="J19" s="1"/>
      <c r="K19" s="1"/>
      <c r="L19" s="11"/>
    </row>
    <row r="20" spans="1:15" ht="13.5" thickBot="1" x14ac:dyDescent="0.25">
      <c r="A20" s="2">
        <v>10</v>
      </c>
      <c r="B20" s="11" t="s">
        <v>21</v>
      </c>
      <c r="C20" s="14">
        <v>4725</v>
      </c>
      <c r="D20" s="11"/>
      <c r="E20" s="12"/>
      <c r="F20" s="15"/>
      <c r="G20" s="15"/>
      <c r="H20" s="16"/>
      <c r="I20" s="16"/>
      <c r="J20" s="11"/>
      <c r="K20" s="11"/>
      <c r="L20" s="11"/>
    </row>
    <row r="21" spans="1:15" ht="13.9" customHeight="1" thickBot="1" x14ac:dyDescent="0.25">
      <c r="A21" s="2" t="s">
        <v>22</v>
      </c>
      <c r="B21" s="11" t="s">
        <v>23</v>
      </c>
      <c r="C21" s="14">
        <v>4274890</v>
      </c>
      <c r="E21" s="12"/>
      <c r="F21" s="15"/>
      <c r="G21" s="15"/>
      <c r="H21" s="16"/>
      <c r="I21" s="17" t="s">
        <v>24</v>
      </c>
      <c r="J21" s="52" t="s">
        <v>25</v>
      </c>
      <c r="K21" s="49"/>
      <c r="L21" s="11"/>
    </row>
    <row r="22" spans="1:15" x14ac:dyDescent="0.2">
      <c r="A22" s="2">
        <v>0</v>
      </c>
      <c r="B22" s="11" t="s">
        <v>26</v>
      </c>
      <c r="C22" s="14" t="s">
        <v>27</v>
      </c>
      <c r="D22" s="11"/>
      <c r="E22" s="12"/>
      <c r="F22" s="12"/>
      <c r="G22" s="12"/>
      <c r="H22" s="11"/>
      <c r="I22" s="11"/>
      <c r="J22" s="11"/>
      <c r="K22" s="11"/>
      <c r="L22" s="11"/>
    </row>
    <row r="23" spans="1:15" ht="4.1500000000000004" customHeight="1" x14ac:dyDescent="0.2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</row>
    <row r="24" spans="1:15" s="20" customFormat="1" ht="22.5" x14ac:dyDescent="0.2">
      <c r="A24" s="18" t="s">
        <v>28</v>
      </c>
      <c r="B24" s="19" t="s">
        <v>29</v>
      </c>
      <c r="C24" s="19" t="s">
        <v>30</v>
      </c>
      <c r="D24" s="19" t="s">
        <v>31</v>
      </c>
      <c r="E24" s="19" t="s">
        <v>32</v>
      </c>
      <c r="F24" s="19" t="s">
        <v>33</v>
      </c>
      <c r="G24" s="19" t="s">
        <v>34</v>
      </c>
      <c r="H24" s="19" t="s">
        <v>35</v>
      </c>
      <c r="I24" s="19" t="s">
        <v>36</v>
      </c>
      <c r="J24" s="19" t="s">
        <v>37</v>
      </c>
      <c r="K24" s="19" t="s">
        <v>38</v>
      </c>
      <c r="L24" s="19" t="s">
        <v>39</v>
      </c>
    </row>
    <row r="25" spans="1:15" x14ac:dyDescent="0.2">
      <c r="A25" s="21">
        <v>678</v>
      </c>
      <c r="B25" s="22">
        <v>483</v>
      </c>
      <c r="C25" s="23" t="s">
        <v>233</v>
      </c>
      <c r="D25" s="24">
        <v>67914820</v>
      </c>
      <c r="E25" s="25" t="s">
        <v>234</v>
      </c>
      <c r="F25" s="26">
        <v>45826</v>
      </c>
      <c r="G25" s="25">
        <v>3062650</v>
      </c>
      <c r="H25" s="23" t="s">
        <v>138</v>
      </c>
      <c r="I25" s="25" t="s">
        <v>139</v>
      </c>
      <c r="J25" s="27">
        <v>45</v>
      </c>
      <c r="K25" s="27">
        <v>35.93</v>
      </c>
      <c r="L25" s="27">
        <v>9.07</v>
      </c>
      <c r="N25" s="34"/>
      <c r="O25" s="34"/>
    </row>
    <row r="26" spans="1:15" x14ac:dyDescent="0.2">
      <c r="A26" s="21">
        <v>679</v>
      </c>
      <c r="B26" s="22">
        <v>483</v>
      </c>
      <c r="C26" s="23" t="s">
        <v>233</v>
      </c>
      <c r="D26" s="24">
        <v>67914820</v>
      </c>
      <c r="E26" s="25" t="s">
        <v>234</v>
      </c>
      <c r="F26" s="26">
        <v>45826</v>
      </c>
      <c r="G26" s="25">
        <v>3074085</v>
      </c>
      <c r="H26" s="23" t="s">
        <v>91</v>
      </c>
      <c r="I26" s="25" t="s">
        <v>92</v>
      </c>
      <c r="J26" s="27">
        <v>55</v>
      </c>
      <c r="K26" s="27">
        <v>46.54</v>
      </c>
      <c r="L26" s="27">
        <v>8.4600000000000009</v>
      </c>
      <c r="N26" s="34"/>
      <c r="O26" s="34"/>
    </row>
    <row r="27" spans="1:15" x14ac:dyDescent="0.2">
      <c r="A27" s="21">
        <v>680</v>
      </c>
      <c r="B27" s="22">
        <v>483</v>
      </c>
      <c r="C27" s="23" t="s">
        <v>233</v>
      </c>
      <c r="D27" s="24">
        <v>67914820</v>
      </c>
      <c r="E27" s="25" t="s">
        <v>234</v>
      </c>
      <c r="F27" s="26">
        <v>45826</v>
      </c>
      <c r="G27" s="25">
        <v>3074176</v>
      </c>
      <c r="H27" s="23" t="s">
        <v>44</v>
      </c>
      <c r="I27" s="25" t="s">
        <v>45</v>
      </c>
      <c r="J27" s="27">
        <v>93</v>
      </c>
      <c r="K27" s="27">
        <v>83.35</v>
      </c>
      <c r="L27" s="27">
        <v>9.65</v>
      </c>
      <c r="N27" s="34"/>
      <c r="O27" s="34"/>
    </row>
    <row r="28" spans="1:15" ht="22.5" x14ac:dyDescent="0.2">
      <c r="A28" s="21">
        <v>681</v>
      </c>
      <c r="B28" s="22">
        <v>483</v>
      </c>
      <c r="C28" s="23" t="s">
        <v>233</v>
      </c>
      <c r="D28" s="24">
        <v>67914820</v>
      </c>
      <c r="E28" s="25" t="s">
        <v>234</v>
      </c>
      <c r="F28" s="26">
        <v>45826</v>
      </c>
      <c r="G28" s="25">
        <v>3076254</v>
      </c>
      <c r="H28" s="23" t="s">
        <v>46</v>
      </c>
      <c r="I28" s="25" t="s">
        <v>47</v>
      </c>
      <c r="J28" s="27">
        <v>93</v>
      </c>
      <c r="K28" s="27">
        <v>80.37</v>
      </c>
      <c r="L28" s="27">
        <v>12.63</v>
      </c>
      <c r="N28" s="34"/>
      <c r="O28" s="34"/>
    </row>
    <row r="29" spans="1:15" ht="33.75" x14ac:dyDescent="0.2">
      <c r="A29" s="21">
        <v>682</v>
      </c>
      <c r="B29" s="22">
        <v>483</v>
      </c>
      <c r="C29" s="23" t="s">
        <v>233</v>
      </c>
      <c r="D29" s="24">
        <v>67914820</v>
      </c>
      <c r="E29" s="25" t="s">
        <v>234</v>
      </c>
      <c r="F29" s="26">
        <v>45826</v>
      </c>
      <c r="G29" s="25">
        <v>3076411</v>
      </c>
      <c r="H29" s="23" t="s">
        <v>159</v>
      </c>
      <c r="I29" s="25" t="s">
        <v>160</v>
      </c>
      <c r="J29" s="27">
        <v>94</v>
      </c>
      <c r="K29" s="27">
        <v>70.28</v>
      </c>
      <c r="L29" s="27">
        <v>23.72</v>
      </c>
      <c r="N29" s="34"/>
      <c r="O29" s="34"/>
    </row>
    <row r="30" spans="1:15" ht="33.75" x14ac:dyDescent="0.2">
      <c r="A30" s="21">
        <v>683</v>
      </c>
      <c r="B30" s="22">
        <v>483</v>
      </c>
      <c r="C30" s="23" t="s">
        <v>233</v>
      </c>
      <c r="D30" s="24">
        <v>67914820</v>
      </c>
      <c r="E30" s="25" t="s">
        <v>234</v>
      </c>
      <c r="F30" s="26">
        <v>45826</v>
      </c>
      <c r="G30" s="25">
        <v>3076486</v>
      </c>
      <c r="H30" s="23" t="s">
        <v>48</v>
      </c>
      <c r="I30" s="25" t="s">
        <v>49</v>
      </c>
      <c r="J30" s="27">
        <v>124</v>
      </c>
      <c r="K30" s="27">
        <v>100.48</v>
      </c>
      <c r="L30" s="27">
        <v>23.52</v>
      </c>
      <c r="N30" s="34"/>
      <c r="O30" s="34"/>
    </row>
    <row r="31" spans="1:15" ht="22.5" x14ac:dyDescent="0.2">
      <c r="A31" s="21">
        <v>684</v>
      </c>
      <c r="B31" s="22">
        <v>483</v>
      </c>
      <c r="C31" s="23" t="s">
        <v>233</v>
      </c>
      <c r="D31" s="24">
        <v>67914820</v>
      </c>
      <c r="E31" s="25" t="s">
        <v>234</v>
      </c>
      <c r="F31" s="26">
        <v>45826</v>
      </c>
      <c r="G31" s="25">
        <v>3086303</v>
      </c>
      <c r="H31" s="23" t="s">
        <v>52</v>
      </c>
      <c r="I31" s="25" t="s">
        <v>53</v>
      </c>
      <c r="J31" s="27">
        <v>87</v>
      </c>
      <c r="K31" s="27">
        <v>80.989999999999995</v>
      </c>
      <c r="L31" s="27">
        <v>6.01</v>
      </c>
      <c r="N31" s="34"/>
      <c r="O31" s="34"/>
    </row>
    <row r="32" spans="1:15" ht="22.5" x14ac:dyDescent="0.2">
      <c r="A32" s="21">
        <v>685</v>
      </c>
      <c r="B32" s="22">
        <v>483</v>
      </c>
      <c r="C32" s="23" t="s">
        <v>233</v>
      </c>
      <c r="D32" s="24">
        <v>67914820</v>
      </c>
      <c r="E32" s="25" t="s">
        <v>234</v>
      </c>
      <c r="F32" s="26">
        <v>45826</v>
      </c>
      <c r="G32" s="25">
        <v>3086428</v>
      </c>
      <c r="H32" s="23" t="s">
        <v>54</v>
      </c>
      <c r="I32" s="25" t="s">
        <v>55</v>
      </c>
      <c r="J32" s="27">
        <v>82</v>
      </c>
      <c r="K32" s="27">
        <v>73.59</v>
      </c>
      <c r="L32" s="27">
        <v>8.41</v>
      </c>
      <c r="N32" s="34"/>
      <c r="O32" s="34"/>
    </row>
    <row r="33" spans="1:15" ht="22.5" x14ac:dyDescent="0.2">
      <c r="A33" s="21">
        <v>686</v>
      </c>
      <c r="B33" s="22">
        <v>483</v>
      </c>
      <c r="C33" s="23" t="s">
        <v>233</v>
      </c>
      <c r="D33" s="24">
        <v>67914820</v>
      </c>
      <c r="E33" s="25" t="s">
        <v>234</v>
      </c>
      <c r="F33" s="26">
        <v>45826</v>
      </c>
      <c r="G33" s="25">
        <v>3088127</v>
      </c>
      <c r="H33" s="23" t="s">
        <v>60</v>
      </c>
      <c r="I33" s="25" t="s">
        <v>61</v>
      </c>
      <c r="J33" s="27">
        <v>30</v>
      </c>
      <c r="K33" s="27">
        <v>26.85</v>
      </c>
      <c r="L33" s="27">
        <v>3.15</v>
      </c>
      <c r="N33" s="34"/>
      <c r="O33" s="34"/>
    </row>
    <row r="34" spans="1:15" ht="22.5" x14ac:dyDescent="0.2">
      <c r="A34" s="21">
        <v>687</v>
      </c>
      <c r="B34" s="22">
        <v>483</v>
      </c>
      <c r="C34" s="23" t="s">
        <v>233</v>
      </c>
      <c r="D34" s="24">
        <v>67914820</v>
      </c>
      <c r="E34" s="25" t="s">
        <v>234</v>
      </c>
      <c r="F34" s="26">
        <v>45826</v>
      </c>
      <c r="G34" s="25">
        <v>7301021</v>
      </c>
      <c r="H34" s="23" t="s">
        <v>56</v>
      </c>
      <c r="I34" s="25" t="s">
        <v>57</v>
      </c>
      <c r="J34" s="27">
        <v>189</v>
      </c>
      <c r="K34" s="27">
        <v>124.97</v>
      </c>
      <c r="L34" s="27">
        <v>64.03</v>
      </c>
      <c r="N34" s="34"/>
      <c r="O34" s="34"/>
    </row>
    <row r="35" spans="1:15" x14ac:dyDescent="0.2">
      <c r="B35" s="12"/>
      <c r="C35" s="28"/>
      <c r="D35" s="29"/>
      <c r="E35" s="12"/>
      <c r="F35" s="12"/>
      <c r="G35" s="12"/>
      <c r="H35" s="30"/>
      <c r="I35" s="30"/>
      <c r="J35" s="30"/>
      <c r="K35" s="36"/>
      <c r="L35" s="11"/>
    </row>
    <row r="36" spans="1:15" x14ac:dyDescent="0.2">
      <c r="B36" s="12"/>
      <c r="C36" s="28"/>
      <c r="D36" s="29"/>
      <c r="E36" s="15"/>
      <c r="F36" s="15"/>
      <c r="G36" s="15"/>
      <c r="H36" s="15"/>
      <c r="I36" s="30"/>
      <c r="J36" s="30"/>
      <c r="K36" s="11"/>
      <c r="L36" s="11"/>
    </row>
    <row r="37" spans="1:15" x14ac:dyDescent="0.2">
      <c r="B37" s="12"/>
      <c r="C37" s="28"/>
      <c r="D37" s="29"/>
      <c r="E37" s="12"/>
      <c r="F37" s="11"/>
      <c r="G37" s="11"/>
      <c r="H37" s="11"/>
      <c r="I37" s="30"/>
      <c r="J37" s="30"/>
      <c r="K37" s="11"/>
      <c r="L37" s="11"/>
    </row>
    <row r="38" spans="1:15" ht="13.5" thickBot="1" x14ac:dyDescent="0.25">
      <c r="B38" s="12"/>
      <c r="C38" s="28"/>
      <c r="D38" s="11" t="s">
        <v>62</v>
      </c>
      <c r="E38" s="31"/>
      <c r="F38" s="31"/>
      <c r="G38" s="31"/>
      <c r="H38" s="32"/>
      <c r="I38" s="11"/>
      <c r="J38" s="30"/>
      <c r="K38" s="11"/>
      <c r="L38" s="33">
        <v>168.65</v>
      </c>
    </row>
    <row r="39" spans="1:15" ht="13.5" thickTop="1" x14ac:dyDescent="0.2">
      <c r="B39" s="12"/>
      <c r="C39" s="28"/>
      <c r="D39" s="35"/>
      <c r="E39" s="31"/>
      <c r="F39" s="31"/>
      <c r="G39" s="31"/>
      <c r="H39" s="32"/>
      <c r="I39" s="11"/>
      <c r="J39" s="30"/>
      <c r="K39" s="11"/>
      <c r="L39" s="36"/>
    </row>
    <row r="43" spans="1:15" ht="59.65" customHeight="1" x14ac:dyDescent="0.25">
      <c r="C43"/>
      <c r="D43"/>
      <c r="E43"/>
      <c r="F43"/>
      <c r="G43"/>
      <c r="H43"/>
      <c r="I43"/>
      <c r="J43"/>
      <c r="K43"/>
    </row>
  </sheetData>
  <mergeCells count="4">
    <mergeCell ref="I14:J14"/>
    <mergeCell ref="B16:L16"/>
    <mergeCell ref="B17:L17"/>
    <mergeCell ref="J21:K21"/>
  </mergeCells>
  <dataValidations count="1">
    <dataValidation type="list" allowBlank="1" showInputMessage="1" showErrorMessage="1" sqref="C19:D19" xr:uid="{75BC4D94-F953-44A8-BA21-AF164BB73774}">
      <formula1>#REF!</formula1>
    </dataValidation>
  </dataValidations>
  <pageMargins left="0.25" right="0.25" top="0.5" bottom="0.5" header="0.3" footer="0.3"/>
  <pageSetup scale="94" fitToHeight="0" orientation="landscape" r:id="rId1"/>
  <headerFooter differentFirst="1">
    <oddFooter>&amp;L&amp;P</oddFooter>
    <firstFooter>&amp;L&amp;P&amp;C&amp;"Calibri,Bold"YOUR PROMPT PAYMENT WILL BE GREATLY APPRECIATED.
IF ANY OF THESE CLAIMS WERE BILLED IN ERROR, PLEASE EMAIL YVONNE AGUILAR  AT YVONNE.AGUILAR@BANNERHEALTH.COM, SO WE CAN BILL THE PATIENT IN A TIMELY MANNER.  THANK YOU.</first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D4080-C311-4B23-9CE2-06B0F5285F45}">
  <sheetPr>
    <tabColor rgb="FFFFFF00"/>
    <pageSetUpPr fitToPage="1"/>
  </sheetPr>
  <dimension ref="A1:O53"/>
  <sheetViews>
    <sheetView topLeftCell="B1" zoomScaleNormal="100" workbookViewId="0">
      <selection activeCell="G2" sqref="G2"/>
    </sheetView>
  </sheetViews>
  <sheetFormatPr defaultColWidth="8.85546875" defaultRowHeight="12.75" x14ac:dyDescent="0.2"/>
  <cols>
    <col min="1" max="1" width="8.85546875" style="2" hidden="1" customWidth="1"/>
    <col min="2" max="2" width="13.28515625" style="2" customWidth="1"/>
    <col min="3" max="3" width="14.5703125" style="2" customWidth="1"/>
    <col min="4" max="4" width="14" style="2" customWidth="1"/>
    <col min="5" max="5" width="18.42578125" style="2" customWidth="1"/>
    <col min="6" max="7" width="11.42578125" style="2" customWidth="1"/>
    <col min="8" max="8" width="8.85546875" style="2"/>
    <col min="9" max="9" width="19.7109375" style="2" customWidth="1"/>
    <col min="10" max="10" width="10.28515625" style="2" customWidth="1"/>
    <col min="11" max="11" width="11.85546875" style="2" customWidth="1"/>
    <col min="12" max="12" width="9.5703125" style="2" customWidth="1"/>
    <col min="13" max="16384" width="8.85546875" style="2"/>
  </cols>
  <sheetData>
    <row r="1" spans="2:12" x14ac:dyDescent="0.2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x14ac:dyDescent="0.2">
      <c r="B2" s="1"/>
      <c r="C2" s="1"/>
      <c r="D2" s="1"/>
      <c r="E2" s="1"/>
      <c r="F2" s="1"/>
      <c r="G2" s="37" t="s">
        <v>311</v>
      </c>
      <c r="H2" s="1"/>
      <c r="I2" s="3" t="s">
        <v>0</v>
      </c>
      <c r="J2" s="4" t="s">
        <v>235</v>
      </c>
      <c r="K2" s="1"/>
      <c r="L2" s="1"/>
    </row>
    <row r="3" spans="2:12" x14ac:dyDescent="0.2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2:12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2:12" x14ac:dyDescent="0.2"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2:12" ht="4.9000000000000004" customHeight="1" x14ac:dyDescent="0.2"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2:12" x14ac:dyDescent="0.2">
      <c r="B7" s="3" t="s">
        <v>2</v>
      </c>
      <c r="C7" s="1"/>
      <c r="D7" s="1"/>
      <c r="E7" s="1"/>
      <c r="F7" s="1"/>
      <c r="G7" s="1"/>
      <c r="H7" s="1"/>
      <c r="I7" s="5" t="s">
        <v>3</v>
      </c>
      <c r="J7" s="1"/>
      <c r="K7" s="1"/>
      <c r="L7" s="1"/>
    </row>
    <row r="8" spans="2:12" x14ac:dyDescent="0.2">
      <c r="B8" s="3" t="s">
        <v>4</v>
      </c>
      <c r="C8" s="1"/>
      <c r="D8" s="1"/>
      <c r="E8" s="1"/>
      <c r="F8" s="1"/>
      <c r="G8" s="1"/>
      <c r="H8" s="1"/>
      <c r="I8" s="3" t="s">
        <v>5</v>
      </c>
      <c r="J8" s="1"/>
      <c r="K8" s="1"/>
      <c r="L8" s="1"/>
    </row>
    <row r="9" spans="2:12" x14ac:dyDescent="0.2">
      <c r="B9" s="3" t="s">
        <v>6</v>
      </c>
      <c r="C9" s="1"/>
      <c r="D9" s="1"/>
      <c r="E9" s="1"/>
      <c r="F9" s="1"/>
      <c r="G9" s="1"/>
      <c r="H9" s="1"/>
      <c r="I9" s="3" t="s">
        <v>7</v>
      </c>
      <c r="J9" s="1"/>
      <c r="K9" s="1"/>
      <c r="L9" s="1"/>
    </row>
    <row r="10" spans="2:12" x14ac:dyDescent="0.2">
      <c r="B10" s="3" t="s">
        <v>8</v>
      </c>
      <c r="C10" s="1"/>
      <c r="D10" s="1"/>
      <c r="E10" s="1"/>
      <c r="F10" s="1"/>
      <c r="G10" s="1"/>
      <c r="H10" s="1"/>
      <c r="I10" s="6" t="s">
        <v>9</v>
      </c>
      <c r="J10" s="1"/>
      <c r="K10" s="1"/>
      <c r="L10" s="1"/>
    </row>
    <row r="11" spans="2:12" x14ac:dyDescent="0.2">
      <c r="B11" s="3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2:12" x14ac:dyDescent="0.2">
      <c r="B12" s="3" t="s">
        <v>11</v>
      </c>
      <c r="C12" s="1"/>
      <c r="D12" s="1"/>
      <c r="E12" s="1"/>
      <c r="F12" s="1"/>
      <c r="G12" s="1"/>
      <c r="H12" s="1"/>
      <c r="I12" s="6" t="s">
        <v>12</v>
      </c>
      <c r="J12" s="6" t="s">
        <v>13</v>
      </c>
      <c r="K12" s="6"/>
      <c r="L12" s="1"/>
    </row>
    <row r="13" spans="2:12" ht="4.1500000000000004" customHeight="1" thickBot="1" x14ac:dyDescent="0.25">
      <c r="B13" s="3"/>
      <c r="C13" s="1"/>
      <c r="D13" s="1"/>
      <c r="E13" s="1"/>
      <c r="F13" s="6"/>
      <c r="G13" s="6"/>
      <c r="H13" s="6"/>
      <c r="I13" s="1"/>
      <c r="J13" s="1"/>
      <c r="K13" s="1"/>
      <c r="L13" s="1"/>
    </row>
    <row r="14" spans="2:12" ht="13.5" thickBot="1" x14ac:dyDescent="0.25">
      <c r="B14" s="7"/>
      <c r="C14" s="1"/>
      <c r="D14" s="1"/>
      <c r="E14" s="1"/>
      <c r="F14" s="1"/>
      <c r="G14" s="1"/>
      <c r="H14" s="1"/>
      <c r="I14" s="44" t="s">
        <v>14</v>
      </c>
      <c r="J14" s="45"/>
      <c r="K14" s="8" t="s">
        <v>15</v>
      </c>
      <c r="L14" s="9"/>
    </row>
    <row r="15" spans="2:12" ht="6" customHeight="1" thickBot="1" x14ac:dyDescent="0.25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2:12" ht="19.7" customHeight="1" thickTop="1" x14ac:dyDescent="0.2">
      <c r="B16" s="46" t="s">
        <v>16</v>
      </c>
      <c r="C16" s="46"/>
      <c r="D16" s="46"/>
      <c r="E16" s="46"/>
      <c r="F16" s="46"/>
      <c r="G16" s="46"/>
      <c r="H16" s="46"/>
      <c r="I16" s="46"/>
      <c r="J16" s="46"/>
      <c r="K16" s="46"/>
      <c r="L16" s="46"/>
    </row>
    <row r="17" spans="1:15" ht="15.6" customHeight="1" x14ac:dyDescent="0.2">
      <c r="B17" s="47">
        <v>45838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</row>
    <row r="18" spans="1:15" x14ac:dyDescent="0.2">
      <c r="B18" s="11" t="s">
        <v>17</v>
      </c>
      <c r="C18" s="11"/>
      <c r="D18" s="11"/>
      <c r="E18" s="12"/>
      <c r="F18" s="11"/>
      <c r="G18" s="11"/>
      <c r="H18" s="11"/>
      <c r="I18" s="1"/>
      <c r="J18" s="11"/>
      <c r="K18" s="11"/>
      <c r="L18" s="11"/>
    </row>
    <row r="19" spans="1:15" x14ac:dyDescent="0.2">
      <c r="A19" s="2" t="s">
        <v>18</v>
      </c>
      <c r="B19" s="11" t="s">
        <v>19</v>
      </c>
      <c r="C19" s="14" t="s">
        <v>236</v>
      </c>
      <c r="D19" s="11"/>
      <c r="E19" s="12"/>
      <c r="F19" s="1"/>
      <c r="G19" s="1"/>
      <c r="H19" s="1"/>
      <c r="I19" s="1"/>
      <c r="J19" s="1"/>
      <c r="K19" s="1"/>
      <c r="L19" s="11"/>
    </row>
    <row r="20" spans="1:15" ht="13.5" thickBot="1" x14ac:dyDescent="0.25">
      <c r="A20" s="2">
        <v>20</v>
      </c>
      <c r="B20" s="11" t="s">
        <v>21</v>
      </c>
      <c r="C20" s="14">
        <v>3932</v>
      </c>
      <c r="D20" s="11"/>
      <c r="E20" s="12"/>
      <c r="F20" s="15"/>
      <c r="G20" s="15"/>
      <c r="H20" s="16"/>
      <c r="I20" s="16"/>
      <c r="J20" s="11"/>
      <c r="K20" s="11"/>
      <c r="L20" s="11"/>
    </row>
    <row r="21" spans="1:15" ht="13.9" customHeight="1" thickBot="1" x14ac:dyDescent="0.25">
      <c r="A21" s="2" t="s">
        <v>22</v>
      </c>
      <c r="B21" s="11" t="s">
        <v>23</v>
      </c>
      <c r="C21" s="14">
        <v>4274210</v>
      </c>
      <c r="E21" s="12"/>
      <c r="F21" s="15"/>
      <c r="G21" s="15"/>
      <c r="H21" s="16"/>
      <c r="I21" s="17" t="s">
        <v>24</v>
      </c>
      <c r="J21" s="52" t="s">
        <v>25</v>
      </c>
      <c r="K21" s="49"/>
      <c r="L21" s="11"/>
    </row>
    <row r="22" spans="1:15" x14ac:dyDescent="0.2">
      <c r="A22" s="2">
        <v>0</v>
      </c>
      <c r="B22" s="11" t="s">
        <v>26</v>
      </c>
      <c r="C22" s="14" t="s">
        <v>27</v>
      </c>
      <c r="D22" s="11"/>
      <c r="E22" s="12"/>
      <c r="F22" s="12"/>
      <c r="G22" s="12"/>
      <c r="H22" s="11"/>
      <c r="I22" s="11"/>
      <c r="J22" s="11"/>
      <c r="K22" s="11"/>
      <c r="L22" s="11"/>
    </row>
    <row r="23" spans="1:15" ht="4.1500000000000004" customHeight="1" x14ac:dyDescent="0.2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</row>
    <row r="24" spans="1:15" s="20" customFormat="1" ht="22.5" x14ac:dyDescent="0.2">
      <c r="A24" s="18" t="s">
        <v>28</v>
      </c>
      <c r="B24" s="19" t="s">
        <v>29</v>
      </c>
      <c r="C24" s="19" t="s">
        <v>30</v>
      </c>
      <c r="D24" s="19" t="s">
        <v>31</v>
      </c>
      <c r="E24" s="19" t="s">
        <v>32</v>
      </c>
      <c r="F24" s="19" t="s">
        <v>33</v>
      </c>
      <c r="G24" s="19" t="s">
        <v>34</v>
      </c>
      <c r="H24" s="19" t="s">
        <v>35</v>
      </c>
      <c r="I24" s="19" t="s">
        <v>36</v>
      </c>
      <c r="J24" s="19" t="s">
        <v>37</v>
      </c>
      <c r="K24" s="19" t="s">
        <v>38</v>
      </c>
      <c r="L24" s="19" t="s">
        <v>39</v>
      </c>
    </row>
    <row r="25" spans="1:15" ht="22.5" x14ac:dyDescent="0.2">
      <c r="A25" s="21">
        <v>577</v>
      </c>
      <c r="B25" s="22">
        <v>483</v>
      </c>
      <c r="C25" s="23" t="s">
        <v>237</v>
      </c>
      <c r="D25" s="24">
        <v>67849810</v>
      </c>
      <c r="E25" s="25" t="s">
        <v>238</v>
      </c>
      <c r="F25" s="26">
        <v>45820</v>
      </c>
      <c r="G25" s="25">
        <v>3411303</v>
      </c>
      <c r="H25" s="23" t="s">
        <v>239</v>
      </c>
      <c r="I25" s="25" t="s">
        <v>240</v>
      </c>
      <c r="J25" s="27">
        <v>2434</v>
      </c>
      <c r="K25" s="27">
        <v>1609.3600000000001</v>
      </c>
      <c r="L25" s="27">
        <v>824.64</v>
      </c>
      <c r="N25" s="34"/>
      <c r="O25" s="34"/>
    </row>
    <row r="26" spans="1:15" ht="33.75" x14ac:dyDescent="0.2">
      <c r="A26" s="21">
        <v>578</v>
      </c>
      <c r="B26" s="22">
        <v>483</v>
      </c>
      <c r="C26" s="23" t="s">
        <v>237</v>
      </c>
      <c r="D26" s="24">
        <v>67849810</v>
      </c>
      <c r="E26" s="25" t="s">
        <v>238</v>
      </c>
      <c r="F26" s="26">
        <v>45820</v>
      </c>
      <c r="G26" s="25">
        <v>3412434</v>
      </c>
      <c r="H26" s="23" t="s">
        <v>241</v>
      </c>
      <c r="I26" s="25" t="s">
        <v>242</v>
      </c>
      <c r="J26" s="27">
        <v>354.3</v>
      </c>
      <c r="K26" s="27">
        <v>234.27</v>
      </c>
      <c r="L26" s="27">
        <v>120.03</v>
      </c>
      <c r="N26" s="34"/>
      <c r="O26" s="34"/>
    </row>
    <row r="27" spans="1:15" x14ac:dyDescent="0.2">
      <c r="A27" s="21">
        <v>579</v>
      </c>
      <c r="B27" s="22">
        <v>483</v>
      </c>
      <c r="C27" s="23" t="s">
        <v>237</v>
      </c>
      <c r="D27" s="24">
        <v>67849810</v>
      </c>
      <c r="E27" s="25" t="s">
        <v>238</v>
      </c>
      <c r="F27" s="26">
        <v>45820</v>
      </c>
      <c r="G27" s="25">
        <v>3522893</v>
      </c>
      <c r="H27" s="23" t="s">
        <v>77</v>
      </c>
      <c r="I27" s="25" t="s">
        <v>78</v>
      </c>
      <c r="J27" s="27">
        <v>2518</v>
      </c>
      <c r="K27" s="27">
        <v>1664.9</v>
      </c>
      <c r="L27" s="27">
        <v>853.1</v>
      </c>
      <c r="N27" s="34"/>
      <c r="O27" s="34"/>
    </row>
    <row r="28" spans="1:15" x14ac:dyDescent="0.2">
      <c r="A28" s="21">
        <v>580</v>
      </c>
      <c r="B28" s="22">
        <v>483</v>
      </c>
      <c r="C28" s="23" t="s">
        <v>237</v>
      </c>
      <c r="D28" s="24">
        <v>67902452</v>
      </c>
      <c r="E28" s="25" t="s">
        <v>238</v>
      </c>
      <c r="F28" s="26">
        <v>45826</v>
      </c>
      <c r="G28" s="25">
        <v>3074085</v>
      </c>
      <c r="H28" s="23" t="s">
        <v>91</v>
      </c>
      <c r="I28" s="25" t="s">
        <v>92</v>
      </c>
      <c r="J28" s="27">
        <v>55</v>
      </c>
      <c r="K28" s="27">
        <v>46.54</v>
      </c>
      <c r="L28" s="27">
        <v>8.4600000000000009</v>
      </c>
      <c r="N28" s="34"/>
      <c r="O28" s="34"/>
    </row>
    <row r="29" spans="1:15" ht="22.5" x14ac:dyDescent="0.2">
      <c r="A29" s="21">
        <v>581</v>
      </c>
      <c r="B29" s="22">
        <v>483</v>
      </c>
      <c r="C29" s="23" t="s">
        <v>237</v>
      </c>
      <c r="D29" s="24">
        <v>67902452</v>
      </c>
      <c r="E29" s="25" t="s">
        <v>238</v>
      </c>
      <c r="F29" s="26">
        <v>45826</v>
      </c>
      <c r="G29" s="25">
        <v>3076262</v>
      </c>
      <c r="H29" s="23" t="s">
        <v>243</v>
      </c>
      <c r="I29" s="25" t="s">
        <v>244</v>
      </c>
      <c r="J29" s="27">
        <v>93</v>
      </c>
      <c r="K29" s="27">
        <v>61.489999999999995</v>
      </c>
      <c r="L29" s="27">
        <v>31.51</v>
      </c>
      <c r="N29" s="34"/>
      <c r="O29" s="34"/>
    </row>
    <row r="30" spans="1:15" ht="33.75" x14ac:dyDescent="0.2">
      <c r="A30" s="21">
        <v>582</v>
      </c>
      <c r="B30" s="22">
        <v>483</v>
      </c>
      <c r="C30" s="23" t="s">
        <v>237</v>
      </c>
      <c r="D30" s="24">
        <v>67902452</v>
      </c>
      <c r="E30" s="25" t="s">
        <v>238</v>
      </c>
      <c r="F30" s="26">
        <v>45826</v>
      </c>
      <c r="G30" s="25">
        <v>3076437</v>
      </c>
      <c r="H30" s="23" t="s">
        <v>245</v>
      </c>
      <c r="I30" s="25" t="s">
        <v>246</v>
      </c>
      <c r="J30" s="27">
        <v>79</v>
      </c>
      <c r="K30" s="27">
        <v>59.15</v>
      </c>
      <c r="L30" s="27">
        <v>19.850000000000001</v>
      </c>
      <c r="N30" s="34"/>
      <c r="O30" s="34"/>
    </row>
    <row r="31" spans="1:15" ht="33.75" x14ac:dyDescent="0.2">
      <c r="A31" s="21">
        <v>583</v>
      </c>
      <c r="B31" s="22">
        <v>483</v>
      </c>
      <c r="C31" s="23" t="s">
        <v>237</v>
      </c>
      <c r="D31" s="24">
        <v>67902452</v>
      </c>
      <c r="E31" s="25" t="s">
        <v>238</v>
      </c>
      <c r="F31" s="26">
        <v>45826</v>
      </c>
      <c r="G31" s="25">
        <v>3076486</v>
      </c>
      <c r="H31" s="23" t="s">
        <v>48</v>
      </c>
      <c r="I31" s="25" t="s">
        <v>49</v>
      </c>
      <c r="J31" s="27">
        <v>124</v>
      </c>
      <c r="K31" s="27">
        <v>100.48</v>
      </c>
      <c r="L31" s="27">
        <v>23.52</v>
      </c>
      <c r="N31" s="34"/>
      <c r="O31" s="34"/>
    </row>
    <row r="32" spans="1:15" x14ac:dyDescent="0.2">
      <c r="A32" s="21">
        <v>584</v>
      </c>
      <c r="B32" s="22">
        <v>483</v>
      </c>
      <c r="C32" s="23" t="s">
        <v>237</v>
      </c>
      <c r="D32" s="24">
        <v>67902452</v>
      </c>
      <c r="E32" s="25" t="s">
        <v>238</v>
      </c>
      <c r="F32" s="26">
        <v>45826</v>
      </c>
      <c r="G32" s="25">
        <v>3077559</v>
      </c>
      <c r="H32" s="23" t="s">
        <v>50</v>
      </c>
      <c r="I32" s="25" t="s">
        <v>51</v>
      </c>
      <c r="J32" s="27">
        <v>109</v>
      </c>
      <c r="K32" s="27">
        <v>101.75</v>
      </c>
      <c r="L32" s="27">
        <v>7.25</v>
      </c>
      <c r="N32" s="34"/>
      <c r="O32" s="34"/>
    </row>
    <row r="33" spans="1:15" ht="22.5" x14ac:dyDescent="0.2">
      <c r="A33" s="21">
        <v>585</v>
      </c>
      <c r="B33" s="22">
        <v>483</v>
      </c>
      <c r="C33" s="23" t="s">
        <v>237</v>
      </c>
      <c r="D33" s="24">
        <v>67902452</v>
      </c>
      <c r="E33" s="25" t="s">
        <v>238</v>
      </c>
      <c r="F33" s="26">
        <v>45826</v>
      </c>
      <c r="G33" s="25">
        <v>3088119</v>
      </c>
      <c r="H33" s="23" t="s">
        <v>107</v>
      </c>
      <c r="I33" s="25" t="s">
        <v>108</v>
      </c>
      <c r="J33" s="27">
        <v>62</v>
      </c>
      <c r="K33" s="27">
        <v>57.56</v>
      </c>
      <c r="L33" s="27">
        <v>4.4400000000000004</v>
      </c>
      <c r="N33" s="34"/>
      <c r="O33" s="34"/>
    </row>
    <row r="34" spans="1:15" ht="22.5" x14ac:dyDescent="0.2">
      <c r="A34" s="21">
        <v>586</v>
      </c>
      <c r="B34" s="22">
        <v>483</v>
      </c>
      <c r="C34" s="23" t="s">
        <v>237</v>
      </c>
      <c r="D34" s="24">
        <v>67902452</v>
      </c>
      <c r="E34" s="25" t="s">
        <v>238</v>
      </c>
      <c r="F34" s="26">
        <v>45826</v>
      </c>
      <c r="G34" s="25">
        <v>7301021</v>
      </c>
      <c r="H34" s="23" t="s">
        <v>56</v>
      </c>
      <c r="I34" s="25" t="s">
        <v>57</v>
      </c>
      <c r="J34" s="27">
        <v>189</v>
      </c>
      <c r="K34" s="27">
        <v>124.97</v>
      </c>
      <c r="L34" s="27">
        <v>64.03</v>
      </c>
      <c r="N34" s="34"/>
      <c r="O34" s="34"/>
    </row>
    <row r="35" spans="1:15" ht="22.5" x14ac:dyDescent="0.2">
      <c r="A35" s="21">
        <v>587</v>
      </c>
      <c r="B35" s="22">
        <v>483</v>
      </c>
      <c r="C35" s="23" t="s">
        <v>247</v>
      </c>
      <c r="D35" s="24">
        <v>67549444</v>
      </c>
      <c r="E35" s="25" t="s">
        <v>248</v>
      </c>
      <c r="F35" s="26">
        <v>45827</v>
      </c>
      <c r="G35" s="25">
        <v>3411303</v>
      </c>
      <c r="H35" s="23" t="s">
        <v>239</v>
      </c>
      <c r="I35" s="25" t="s">
        <v>240</v>
      </c>
      <c r="J35" s="27">
        <v>2434</v>
      </c>
      <c r="K35" s="27">
        <v>1609.3600000000001</v>
      </c>
      <c r="L35" s="27">
        <v>824.64</v>
      </c>
      <c r="N35" s="34"/>
      <c r="O35" s="34"/>
    </row>
    <row r="36" spans="1:15" ht="22.5" x14ac:dyDescent="0.2">
      <c r="A36" s="21">
        <v>588</v>
      </c>
      <c r="B36" s="22">
        <v>483</v>
      </c>
      <c r="C36" s="23" t="s">
        <v>247</v>
      </c>
      <c r="D36" s="24">
        <v>67549444</v>
      </c>
      <c r="E36" s="25" t="s">
        <v>248</v>
      </c>
      <c r="F36" s="26">
        <v>45827</v>
      </c>
      <c r="G36" s="25">
        <v>3413101</v>
      </c>
      <c r="H36" s="23" t="s">
        <v>249</v>
      </c>
      <c r="I36" s="25" t="s">
        <v>250</v>
      </c>
      <c r="J36" s="27">
        <v>1280</v>
      </c>
      <c r="K36" s="27">
        <v>846.33999999999992</v>
      </c>
      <c r="L36" s="27">
        <v>433.66</v>
      </c>
      <c r="N36" s="34"/>
      <c r="O36" s="34"/>
    </row>
    <row r="37" spans="1:15" x14ac:dyDescent="0.2">
      <c r="A37" s="21">
        <v>589</v>
      </c>
      <c r="B37" s="22">
        <v>483</v>
      </c>
      <c r="C37" s="23" t="s">
        <v>247</v>
      </c>
      <c r="D37" s="24">
        <v>67911743</v>
      </c>
      <c r="E37" s="25" t="s">
        <v>248</v>
      </c>
      <c r="F37" s="26">
        <v>45829</v>
      </c>
      <c r="G37" s="25">
        <v>3522893</v>
      </c>
      <c r="H37" s="23" t="s">
        <v>77</v>
      </c>
      <c r="I37" s="25" t="s">
        <v>78</v>
      </c>
      <c r="J37" s="27">
        <v>2518</v>
      </c>
      <c r="K37" s="27">
        <v>1664.9</v>
      </c>
      <c r="L37" s="27">
        <v>853.1</v>
      </c>
      <c r="N37" s="34"/>
      <c r="O37" s="34"/>
    </row>
    <row r="38" spans="1:15" x14ac:dyDescent="0.2">
      <c r="A38" s="21">
        <v>590</v>
      </c>
      <c r="B38" s="22">
        <v>483</v>
      </c>
      <c r="C38" s="23" t="s">
        <v>247</v>
      </c>
      <c r="D38" s="24">
        <v>67923649</v>
      </c>
      <c r="E38" s="25" t="s">
        <v>248</v>
      </c>
      <c r="F38" s="26">
        <v>45833</v>
      </c>
      <c r="G38" s="25">
        <v>3074085</v>
      </c>
      <c r="H38" s="23" t="s">
        <v>91</v>
      </c>
      <c r="I38" s="25" t="s">
        <v>92</v>
      </c>
      <c r="J38" s="27">
        <v>55</v>
      </c>
      <c r="K38" s="27">
        <v>46.54</v>
      </c>
      <c r="L38" s="27">
        <v>8.4600000000000009</v>
      </c>
      <c r="N38" s="34"/>
      <c r="O38" s="34"/>
    </row>
    <row r="39" spans="1:15" ht="22.5" x14ac:dyDescent="0.2">
      <c r="A39" s="21">
        <v>591</v>
      </c>
      <c r="B39" s="22">
        <v>483</v>
      </c>
      <c r="C39" s="23" t="s">
        <v>247</v>
      </c>
      <c r="D39" s="24">
        <v>67923649</v>
      </c>
      <c r="E39" s="25" t="s">
        <v>248</v>
      </c>
      <c r="F39" s="26">
        <v>45833</v>
      </c>
      <c r="G39" s="25">
        <v>3076254</v>
      </c>
      <c r="H39" s="23" t="s">
        <v>46</v>
      </c>
      <c r="I39" s="25" t="s">
        <v>47</v>
      </c>
      <c r="J39" s="27">
        <v>93</v>
      </c>
      <c r="K39" s="27">
        <v>80.37</v>
      </c>
      <c r="L39" s="27">
        <v>12.63</v>
      </c>
      <c r="N39" s="34"/>
      <c r="O39" s="34"/>
    </row>
    <row r="40" spans="1:15" ht="33.75" x14ac:dyDescent="0.2">
      <c r="A40" s="21">
        <v>592</v>
      </c>
      <c r="B40" s="22">
        <v>483</v>
      </c>
      <c r="C40" s="23" t="s">
        <v>247</v>
      </c>
      <c r="D40" s="24">
        <v>67923649</v>
      </c>
      <c r="E40" s="25" t="s">
        <v>248</v>
      </c>
      <c r="F40" s="26">
        <v>45833</v>
      </c>
      <c r="G40" s="25">
        <v>3076437</v>
      </c>
      <c r="H40" s="23" t="s">
        <v>245</v>
      </c>
      <c r="I40" s="25" t="s">
        <v>246</v>
      </c>
      <c r="J40" s="27">
        <v>79</v>
      </c>
      <c r="K40" s="27">
        <v>59.15</v>
      </c>
      <c r="L40" s="27">
        <v>19.850000000000001</v>
      </c>
      <c r="N40" s="34"/>
      <c r="O40" s="34"/>
    </row>
    <row r="41" spans="1:15" ht="33.75" x14ac:dyDescent="0.2">
      <c r="A41" s="21">
        <v>593</v>
      </c>
      <c r="B41" s="22">
        <v>483</v>
      </c>
      <c r="C41" s="23" t="s">
        <v>247</v>
      </c>
      <c r="D41" s="24">
        <v>67923649</v>
      </c>
      <c r="E41" s="25" t="s">
        <v>248</v>
      </c>
      <c r="F41" s="26">
        <v>45833</v>
      </c>
      <c r="G41" s="25">
        <v>3076486</v>
      </c>
      <c r="H41" s="23" t="s">
        <v>48</v>
      </c>
      <c r="I41" s="25" t="s">
        <v>49</v>
      </c>
      <c r="J41" s="27">
        <v>124</v>
      </c>
      <c r="K41" s="27">
        <v>100.48</v>
      </c>
      <c r="L41" s="27">
        <v>23.52</v>
      </c>
      <c r="N41" s="34"/>
      <c r="O41" s="34"/>
    </row>
    <row r="42" spans="1:15" x14ac:dyDescent="0.2">
      <c r="A42" s="21">
        <v>594</v>
      </c>
      <c r="B42" s="22">
        <v>483</v>
      </c>
      <c r="C42" s="23" t="s">
        <v>247</v>
      </c>
      <c r="D42" s="24">
        <v>67923649</v>
      </c>
      <c r="E42" s="25" t="s">
        <v>248</v>
      </c>
      <c r="F42" s="26">
        <v>45833</v>
      </c>
      <c r="G42" s="25">
        <v>3077559</v>
      </c>
      <c r="H42" s="23" t="s">
        <v>50</v>
      </c>
      <c r="I42" s="25" t="s">
        <v>51</v>
      </c>
      <c r="J42" s="27">
        <v>109</v>
      </c>
      <c r="K42" s="27">
        <v>101.75</v>
      </c>
      <c r="L42" s="27">
        <v>7.25</v>
      </c>
      <c r="N42" s="34"/>
      <c r="O42" s="34"/>
    </row>
    <row r="43" spans="1:15" ht="22.5" x14ac:dyDescent="0.2">
      <c r="A43" s="21">
        <v>595</v>
      </c>
      <c r="B43" s="22">
        <v>483</v>
      </c>
      <c r="C43" s="23" t="s">
        <v>247</v>
      </c>
      <c r="D43" s="24">
        <v>67923649</v>
      </c>
      <c r="E43" s="25" t="s">
        <v>248</v>
      </c>
      <c r="F43" s="26">
        <v>45833</v>
      </c>
      <c r="G43" s="25">
        <v>3088119</v>
      </c>
      <c r="H43" s="23" t="s">
        <v>107</v>
      </c>
      <c r="I43" s="25" t="s">
        <v>108</v>
      </c>
      <c r="J43" s="27">
        <v>62</v>
      </c>
      <c r="K43" s="27">
        <v>57.56</v>
      </c>
      <c r="L43" s="27">
        <v>4.4400000000000004</v>
      </c>
      <c r="N43" s="34"/>
      <c r="O43" s="34"/>
    </row>
    <row r="44" spans="1:15" ht="22.5" x14ac:dyDescent="0.2">
      <c r="A44" s="21">
        <v>596</v>
      </c>
      <c r="B44" s="22">
        <v>483</v>
      </c>
      <c r="C44" s="23" t="s">
        <v>247</v>
      </c>
      <c r="D44" s="24">
        <v>67923649</v>
      </c>
      <c r="E44" s="25" t="s">
        <v>248</v>
      </c>
      <c r="F44" s="26">
        <v>45833</v>
      </c>
      <c r="G44" s="25">
        <v>7301021</v>
      </c>
      <c r="H44" s="23" t="s">
        <v>56</v>
      </c>
      <c r="I44" s="25" t="s">
        <v>57</v>
      </c>
      <c r="J44" s="27">
        <v>189</v>
      </c>
      <c r="K44" s="27">
        <v>124.97</v>
      </c>
      <c r="L44" s="27">
        <v>64.03</v>
      </c>
      <c r="N44" s="34"/>
      <c r="O44" s="34"/>
    </row>
    <row r="45" spans="1:15" x14ac:dyDescent="0.2">
      <c r="B45" s="12"/>
      <c r="C45" s="28"/>
      <c r="D45" s="29"/>
      <c r="E45" s="12"/>
      <c r="F45" s="12"/>
      <c r="G45" s="12"/>
      <c r="H45" s="30"/>
      <c r="I45" s="30"/>
      <c r="J45" s="30"/>
      <c r="K45" s="36"/>
      <c r="L45" s="11"/>
    </row>
    <row r="46" spans="1:15" x14ac:dyDescent="0.2">
      <c r="B46" s="12"/>
      <c r="C46" s="28"/>
      <c r="D46" s="29"/>
      <c r="E46" s="15"/>
      <c r="F46" s="15"/>
      <c r="G46" s="15"/>
      <c r="H46" s="15"/>
      <c r="I46" s="30"/>
      <c r="J46" s="30"/>
      <c r="K46" s="11"/>
      <c r="L46" s="11"/>
    </row>
    <row r="47" spans="1:15" x14ac:dyDescent="0.2">
      <c r="B47" s="12"/>
      <c r="C47" s="28"/>
      <c r="D47" s="29"/>
      <c r="E47" s="12"/>
      <c r="F47" s="11"/>
      <c r="G47" s="11"/>
      <c r="H47" s="11"/>
      <c r="I47" s="30"/>
      <c r="J47" s="30"/>
      <c r="K47" s="11"/>
      <c r="L47" s="11"/>
    </row>
    <row r="48" spans="1:15" ht="13.5" thickBot="1" x14ac:dyDescent="0.25">
      <c r="B48" s="12"/>
      <c r="C48" s="28"/>
      <c r="D48" s="11" t="s">
        <v>62</v>
      </c>
      <c r="E48" s="31"/>
      <c r="F48" s="31"/>
      <c r="G48" s="31"/>
      <c r="H48" s="32"/>
      <c r="I48" s="11"/>
      <c r="J48" s="30"/>
      <c r="K48" s="11"/>
      <c r="L48" s="33">
        <v>4208.41</v>
      </c>
    </row>
    <row r="49" spans="2:12" ht="13.5" thickTop="1" x14ac:dyDescent="0.2">
      <c r="B49" s="12"/>
      <c r="C49" s="28"/>
      <c r="D49" s="35"/>
      <c r="E49" s="31"/>
      <c r="F49" s="31"/>
      <c r="G49" s="31"/>
      <c r="H49" s="32"/>
      <c r="I49" s="11"/>
      <c r="J49" s="30"/>
      <c r="K49" s="11"/>
      <c r="L49" s="36"/>
    </row>
    <row r="53" spans="2:12" ht="59.65" customHeight="1" x14ac:dyDescent="0.25">
      <c r="C53"/>
      <c r="D53"/>
      <c r="E53"/>
      <c r="F53"/>
      <c r="G53"/>
      <c r="H53"/>
      <c r="I53"/>
      <c r="J53"/>
      <c r="K53"/>
    </row>
  </sheetData>
  <mergeCells count="4">
    <mergeCell ref="I14:J14"/>
    <mergeCell ref="B16:L16"/>
    <mergeCell ref="B17:L17"/>
    <mergeCell ref="J21:K21"/>
  </mergeCells>
  <dataValidations count="1">
    <dataValidation type="list" allowBlank="1" showInputMessage="1" showErrorMessage="1" sqref="C19:D19" xr:uid="{A7EA8461-F7E3-43B2-A2E0-193A26E41D02}">
      <formula1>#REF!</formula1>
    </dataValidation>
  </dataValidations>
  <pageMargins left="0.25" right="0.25" top="0.5" bottom="0.5" header="0.3" footer="0.3"/>
  <pageSetup scale="94" fitToHeight="0" orientation="landscape" r:id="rId1"/>
  <headerFooter differentFirst="1">
    <oddFooter>&amp;L&amp;P</oddFooter>
    <firstFooter>&amp;L&amp;P&amp;C&amp;"Calibri,Bold"YOUR PROMPT PAYMENT WILL BE GREATLY APPRECIATED.
IF ANY OF THESE CLAIMS WERE BILLED IN ERROR, PLEASE EMAIL YVONNE AGUILAR  AT YVONNE.AGUILAR@BANNERHEALTH.COM, SO WE CAN BILL THE PATIENT IN A TIMELY MANNER.  THANK YOU.</first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D1777-B810-494F-80FB-1E2A88662712}">
  <sheetPr>
    <tabColor rgb="FFFFFF00"/>
    <pageSetUpPr fitToPage="1"/>
  </sheetPr>
  <dimension ref="A1:O57"/>
  <sheetViews>
    <sheetView topLeftCell="B1" zoomScaleNormal="100" workbookViewId="0">
      <selection activeCell="G2" sqref="G2"/>
    </sheetView>
  </sheetViews>
  <sheetFormatPr defaultColWidth="8.85546875" defaultRowHeight="12.75" x14ac:dyDescent="0.2"/>
  <cols>
    <col min="1" max="1" width="8.85546875" style="2" hidden="1" customWidth="1"/>
    <col min="2" max="2" width="13.28515625" style="2" customWidth="1"/>
    <col min="3" max="3" width="15" style="2" customWidth="1"/>
    <col min="4" max="4" width="14" style="2" customWidth="1"/>
    <col min="5" max="5" width="18.42578125" style="2" customWidth="1"/>
    <col min="6" max="7" width="11.42578125" style="2" customWidth="1"/>
    <col min="8" max="8" width="8.85546875" style="2"/>
    <col min="9" max="9" width="19.7109375" style="2" customWidth="1"/>
    <col min="10" max="10" width="10.28515625" style="2" customWidth="1"/>
    <col min="11" max="11" width="11.85546875" style="2" customWidth="1"/>
    <col min="12" max="12" width="9.5703125" style="2" customWidth="1"/>
    <col min="13" max="16384" width="8.85546875" style="2"/>
  </cols>
  <sheetData>
    <row r="1" spans="2:12" x14ac:dyDescent="0.2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x14ac:dyDescent="0.2">
      <c r="B2" s="1"/>
      <c r="C2" s="1"/>
      <c r="D2" s="1"/>
      <c r="E2" s="1"/>
      <c r="F2" s="1"/>
      <c r="G2" s="37" t="s">
        <v>311</v>
      </c>
      <c r="H2" s="1"/>
      <c r="I2" s="3" t="s">
        <v>0</v>
      </c>
      <c r="J2" s="4" t="s">
        <v>251</v>
      </c>
      <c r="K2" s="1"/>
      <c r="L2" s="1"/>
    </row>
    <row r="3" spans="2:12" x14ac:dyDescent="0.2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2:12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2:12" x14ac:dyDescent="0.2"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2:12" ht="4.9000000000000004" customHeight="1" x14ac:dyDescent="0.2"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2:12" x14ac:dyDescent="0.2">
      <c r="B7" s="3" t="s">
        <v>2</v>
      </c>
      <c r="C7" s="1"/>
      <c r="D7" s="1"/>
      <c r="E7" s="1"/>
      <c r="F7" s="1"/>
      <c r="G7" s="1"/>
      <c r="H7" s="1"/>
      <c r="I7" s="5" t="s">
        <v>3</v>
      </c>
      <c r="J7" s="1"/>
      <c r="K7" s="1"/>
      <c r="L7" s="1"/>
    </row>
    <row r="8" spans="2:12" x14ac:dyDescent="0.2">
      <c r="B8" s="3" t="s">
        <v>4</v>
      </c>
      <c r="C8" s="1"/>
      <c r="D8" s="1"/>
      <c r="E8" s="1"/>
      <c r="F8" s="1"/>
      <c r="G8" s="1"/>
      <c r="H8" s="1"/>
      <c r="I8" s="3" t="s">
        <v>5</v>
      </c>
      <c r="J8" s="1"/>
      <c r="K8" s="1"/>
      <c r="L8" s="1"/>
    </row>
    <row r="9" spans="2:12" x14ac:dyDescent="0.2">
      <c r="B9" s="3" t="s">
        <v>6</v>
      </c>
      <c r="C9" s="1"/>
      <c r="D9" s="1"/>
      <c r="E9" s="1"/>
      <c r="F9" s="1"/>
      <c r="G9" s="1"/>
      <c r="H9" s="1"/>
      <c r="I9" s="3" t="s">
        <v>7</v>
      </c>
      <c r="J9" s="1"/>
      <c r="K9" s="1"/>
      <c r="L9" s="1"/>
    </row>
    <row r="10" spans="2:12" x14ac:dyDescent="0.2">
      <c r="B10" s="3" t="s">
        <v>8</v>
      </c>
      <c r="C10" s="1"/>
      <c r="D10" s="1"/>
      <c r="E10" s="1"/>
      <c r="F10" s="1"/>
      <c r="G10" s="1"/>
      <c r="H10" s="1"/>
      <c r="I10" s="6" t="s">
        <v>9</v>
      </c>
      <c r="J10" s="1"/>
      <c r="K10" s="1"/>
      <c r="L10" s="1"/>
    </row>
    <row r="11" spans="2:12" x14ac:dyDescent="0.2">
      <c r="B11" s="3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2:12" x14ac:dyDescent="0.2">
      <c r="B12" s="3" t="s">
        <v>11</v>
      </c>
      <c r="C12" s="1"/>
      <c r="D12" s="1"/>
      <c r="E12" s="1"/>
      <c r="F12" s="1"/>
      <c r="G12" s="1"/>
      <c r="H12" s="1"/>
      <c r="I12" s="6" t="s">
        <v>12</v>
      </c>
      <c r="J12" s="6" t="s">
        <v>13</v>
      </c>
      <c r="K12" s="6"/>
      <c r="L12" s="1"/>
    </row>
    <row r="13" spans="2:12" ht="4.1500000000000004" customHeight="1" thickBot="1" x14ac:dyDescent="0.25">
      <c r="B13" s="3"/>
      <c r="C13" s="1"/>
      <c r="D13" s="1"/>
      <c r="E13" s="1"/>
      <c r="F13" s="6"/>
      <c r="G13" s="6"/>
      <c r="H13" s="6"/>
      <c r="I13" s="1"/>
      <c r="J13" s="1"/>
      <c r="K13" s="1"/>
      <c r="L13" s="1"/>
    </row>
    <row r="14" spans="2:12" ht="13.5" thickBot="1" x14ac:dyDescent="0.25">
      <c r="B14" s="7"/>
      <c r="C14" s="1"/>
      <c r="D14" s="1"/>
      <c r="E14" s="1"/>
      <c r="F14" s="1"/>
      <c r="G14" s="1"/>
      <c r="H14" s="1"/>
      <c r="I14" s="44" t="s">
        <v>14</v>
      </c>
      <c r="J14" s="45"/>
      <c r="K14" s="8" t="s">
        <v>15</v>
      </c>
      <c r="L14" s="9"/>
    </row>
    <row r="15" spans="2:12" ht="6" customHeight="1" thickBot="1" x14ac:dyDescent="0.25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2:12" ht="19.7" customHeight="1" thickTop="1" x14ac:dyDescent="0.2">
      <c r="B16" s="46" t="s">
        <v>16</v>
      </c>
      <c r="C16" s="46"/>
      <c r="D16" s="46"/>
      <c r="E16" s="46"/>
      <c r="F16" s="46"/>
      <c r="G16" s="46"/>
      <c r="H16" s="46"/>
      <c r="I16" s="46"/>
      <c r="J16" s="46"/>
      <c r="K16" s="46"/>
      <c r="L16" s="46"/>
    </row>
    <row r="17" spans="1:15" ht="15.6" customHeight="1" x14ac:dyDescent="0.2">
      <c r="B17" s="47">
        <v>45838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</row>
    <row r="18" spans="1:15" x14ac:dyDescent="0.2">
      <c r="B18" s="11" t="s">
        <v>17</v>
      </c>
      <c r="C18" s="11"/>
      <c r="D18" s="11"/>
      <c r="E18" s="12"/>
      <c r="F18" s="11"/>
      <c r="G18" s="11"/>
      <c r="H18" s="11"/>
      <c r="I18" s="1"/>
      <c r="J18" s="11"/>
      <c r="K18" s="11"/>
      <c r="L18" s="11"/>
    </row>
    <row r="19" spans="1:15" x14ac:dyDescent="0.2">
      <c r="A19" s="2" t="s">
        <v>18</v>
      </c>
      <c r="B19" s="11" t="s">
        <v>19</v>
      </c>
      <c r="C19" s="14" t="s">
        <v>252</v>
      </c>
      <c r="D19" s="11"/>
      <c r="E19" s="12"/>
      <c r="F19" s="1"/>
      <c r="G19" s="1"/>
      <c r="H19" s="1"/>
      <c r="I19" s="1"/>
      <c r="J19" s="1"/>
      <c r="K19" s="1"/>
      <c r="L19" s="11"/>
    </row>
    <row r="20" spans="1:15" ht="13.5" thickBot="1" x14ac:dyDescent="0.25">
      <c r="A20" s="2">
        <v>24</v>
      </c>
      <c r="B20" s="11" t="s">
        <v>21</v>
      </c>
      <c r="C20" s="14">
        <v>2006796061</v>
      </c>
      <c r="D20" s="11"/>
      <c r="E20" s="12"/>
      <c r="F20" s="15"/>
      <c r="G20" s="15"/>
      <c r="H20" s="16"/>
      <c r="I20" s="16"/>
      <c r="J20" s="11"/>
      <c r="K20" s="11"/>
      <c r="L20" s="11"/>
    </row>
    <row r="21" spans="1:15" ht="13.9" customHeight="1" thickBot="1" x14ac:dyDescent="0.25">
      <c r="A21" s="2" t="s">
        <v>22</v>
      </c>
      <c r="B21" s="11" t="s">
        <v>23</v>
      </c>
      <c r="C21" s="14">
        <v>4253580</v>
      </c>
      <c r="E21" s="12"/>
      <c r="F21" s="15"/>
      <c r="G21" s="15"/>
      <c r="H21" s="16"/>
      <c r="I21" s="17" t="s">
        <v>24</v>
      </c>
      <c r="J21" s="52" t="s">
        <v>25</v>
      </c>
      <c r="K21" s="49"/>
      <c r="L21" s="11"/>
    </row>
    <row r="22" spans="1:15" x14ac:dyDescent="0.2">
      <c r="A22" s="2">
        <v>0</v>
      </c>
      <c r="B22" s="11" t="s">
        <v>26</v>
      </c>
      <c r="C22" s="14" t="s">
        <v>27</v>
      </c>
      <c r="D22" s="11"/>
      <c r="E22" s="12"/>
      <c r="F22" s="12"/>
      <c r="G22" s="12"/>
      <c r="H22" s="11"/>
      <c r="I22" s="11"/>
      <c r="J22" s="11"/>
      <c r="K22" s="11"/>
      <c r="L22" s="11"/>
    </row>
    <row r="23" spans="1:15" ht="4.1500000000000004" customHeight="1" x14ac:dyDescent="0.2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</row>
    <row r="24" spans="1:15" s="20" customFormat="1" ht="22.5" x14ac:dyDescent="0.2">
      <c r="A24" s="18" t="s">
        <v>28</v>
      </c>
      <c r="B24" s="19" t="s">
        <v>29</v>
      </c>
      <c r="C24" s="19" t="s">
        <v>30</v>
      </c>
      <c r="D24" s="19" t="s">
        <v>31</v>
      </c>
      <c r="E24" s="19" t="s">
        <v>32</v>
      </c>
      <c r="F24" s="19" t="s">
        <v>33</v>
      </c>
      <c r="G24" s="19" t="s">
        <v>34</v>
      </c>
      <c r="H24" s="19" t="s">
        <v>35</v>
      </c>
      <c r="I24" s="19" t="s">
        <v>36</v>
      </c>
      <c r="J24" s="19" t="s">
        <v>37</v>
      </c>
      <c r="K24" s="19" t="s">
        <v>38</v>
      </c>
      <c r="L24" s="19" t="s">
        <v>39</v>
      </c>
    </row>
    <row r="25" spans="1:15" ht="22.5" x14ac:dyDescent="0.2">
      <c r="A25" s="21">
        <v>732</v>
      </c>
      <c r="B25" s="22">
        <v>483</v>
      </c>
      <c r="C25" s="23" t="s">
        <v>253</v>
      </c>
      <c r="D25" s="24">
        <v>67747253</v>
      </c>
      <c r="E25" s="25" t="s">
        <v>254</v>
      </c>
      <c r="F25" s="26">
        <v>45810</v>
      </c>
      <c r="G25" s="25">
        <v>3076254</v>
      </c>
      <c r="H25" s="23" t="s">
        <v>46</v>
      </c>
      <c r="I25" s="25" t="s">
        <v>47</v>
      </c>
      <c r="J25" s="27">
        <v>93</v>
      </c>
      <c r="K25" s="27">
        <v>80.37</v>
      </c>
      <c r="L25" s="27">
        <v>12.63</v>
      </c>
      <c r="N25" s="34"/>
      <c r="O25" s="34"/>
    </row>
    <row r="26" spans="1:15" ht="33.75" x14ac:dyDescent="0.2">
      <c r="A26" s="21">
        <v>733</v>
      </c>
      <c r="B26" s="22">
        <v>483</v>
      </c>
      <c r="C26" s="23" t="s">
        <v>253</v>
      </c>
      <c r="D26" s="24">
        <v>67747253</v>
      </c>
      <c r="E26" s="25" t="s">
        <v>254</v>
      </c>
      <c r="F26" s="26">
        <v>45810</v>
      </c>
      <c r="G26" s="25">
        <v>3076437</v>
      </c>
      <c r="H26" s="23" t="s">
        <v>245</v>
      </c>
      <c r="I26" s="25" t="s">
        <v>246</v>
      </c>
      <c r="J26" s="27">
        <v>79</v>
      </c>
      <c r="K26" s="27">
        <v>59.15</v>
      </c>
      <c r="L26" s="27">
        <v>19.850000000000001</v>
      </c>
      <c r="N26" s="34"/>
      <c r="O26" s="34"/>
    </row>
    <row r="27" spans="1:15" ht="33.75" x14ac:dyDescent="0.2">
      <c r="A27" s="21">
        <v>734</v>
      </c>
      <c r="B27" s="22">
        <v>483</v>
      </c>
      <c r="C27" s="23" t="s">
        <v>253</v>
      </c>
      <c r="D27" s="24">
        <v>67747253</v>
      </c>
      <c r="E27" s="25" t="s">
        <v>254</v>
      </c>
      <c r="F27" s="26">
        <v>45810</v>
      </c>
      <c r="G27" s="25">
        <v>3076486</v>
      </c>
      <c r="H27" s="23" t="s">
        <v>48</v>
      </c>
      <c r="I27" s="25" t="s">
        <v>49</v>
      </c>
      <c r="J27" s="27">
        <v>124</v>
      </c>
      <c r="K27" s="27">
        <v>100.48</v>
      </c>
      <c r="L27" s="27">
        <v>23.52</v>
      </c>
      <c r="N27" s="34"/>
      <c r="O27" s="34"/>
    </row>
    <row r="28" spans="1:15" ht="22.5" x14ac:dyDescent="0.2">
      <c r="A28" s="21">
        <v>735</v>
      </c>
      <c r="B28" s="22">
        <v>483</v>
      </c>
      <c r="C28" s="23" t="s">
        <v>255</v>
      </c>
      <c r="D28" s="24">
        <v>67745109</v>
      </c>
      <c r="E28" s="25" t="s">
        <v>256</v>
      </c>
      <c r="F28" s="26">
        <v>45810</v>
      </c>
      <c r="G28" s="25">
        <v>3076254</v>
      </c>
      <c r="H28" s="23" t="s">
        <v>46</v>
      </c>
      <c r="I28" s="25" t="s">
        <v>47</v>
      </c>
      <c r="J28" s="27">
        <v>93</v>
      </c>
      <c r="K28" s="27">
        <v>80.37</v>
      </c>
      <c r="L28" s="27">
        <v>12.63</v>
      </c>
      <c r="N28" s="34"/>
      <c r="O28" s="34"/>
    </row>
    <row r="29" spans="1:15" ht="33.75" x14ac:dyDescent="0.2">
      <c r="A29" s="21">
        <v>736</v>
      </c>
      <c r="B29" s="22">
        <v>483</v>
      </c>
      <c r="C29" s="23" t="s">
        <v>255</v>
      </c>
      <c r="D29" s="24">
        <v>67745109</v>
      </c>
      <c r="E29" s="25" t="s">
        <v>256</v>
      </c>
      <c r="F29" s="26">
        <v>45810</v>
      </c>
      <c r="G29" s="25">
        <v>3076437</v>
      </c>
      <c r="H29" s="23" t="s">
        <v>245</v>
      </c>
      <c r="I29" s="25" t="s">
        <v>246</v>
      </c>
      <c r="J29" s="27">
        <v>79</v>
      </c>
      <c r="K29" s="27">
        <v>59.15</v>
      </c>
      <c r="L29" s="27">
        <v>19.850000000000001</v>
      </c>
      <c r="N29" s="34"/>
      <c r="O29" s="34"/>
    </row>
    <row r="30" spans="1:15" ht="33.75" x14ac:dyDescent="0.2">
      <c r="A30" s="21">
        <v>737</v>
      </c>
      <c r="B30" s="22">
        <v>483</v>
      </c>
      <c r="C30" s="23" t="s">
        <v>255</v>
      </c>
      <c r="D30" s="24">
        <v>67745109</v>
      </c>
      <c r="E30" s="25" t="s">
        <v>256</v>
      </c>
      <c r="F30" s="26">
        <v>45810</v>
      </c>
      <c r="G30" s="25">
        <v>3076486</v>
      </c>
      <c r="H30" s="23" t="s">
        <v>48</v>
      </c>
      <c r="I30" s="25" t="s">
        <v>49</v>
      </c>
      <c r="J30" s="27">
        <v>124</v>
      </c>
      <c r="K30" s="27">
        <v>100.48</v>
      </c>
      <c r="L30" s="27">
        <v>23.52</v>
      </c>
      <c r="N30" s="34"/>
      <c r="O30" s="34"/>
    </row>
    <row r="31" spans="1:15" ht="22.5" x14ac:dyDescent="0.2">
      <c r="A31" s="21">
        <v>738</v>
      </c>
      <c r="B31" s="22">
        <v>483</v>
      </c>
      <c r="C31" s="23" t="s">
        <v>255</v>
      </c>
      <c r="D31" s="24">
        <v>67745109</v>
      </c>
      <c r="E31" s="25" t="s">
        <v>256</v>
      </c>
      <c r="F31" s="26">
        <v>45810</v>
      </c>
      <c r="G31" s="25">
        <v>3086303</v>
      </c>
      <c r="H31" s="23" t="s">
        <v>52</v>
      </c>
      <c r="I31" s="25" t="s">
        <v>53</v>
      </c>
      <c r="J31" s="27">
        <v>87</v>
      </c>
      <c r="K31" s="27">
        <v>80.989999999999995</v>
      </c>
      <c r="L31" s="27">
        <v>6.01</v>
      </c>
      <c r="N31" s="34"/>
      <c r="O31" s="34"/>
    </row>
    <row r="32" spans="1:15" ht="22.5" x14ac:dyDescent="0.2">
      <c r="A32" s="21">
        <v>739</v>
      </c>
      <c r="B32" s="22">
        <v>483</v>
      </c>
      <c r="C32" s="23" t="s">
        <v>255</v>
      </c>
      <c r="D32" s="24">
        <v>67745109</v>
      </c>
      <c r="E32" s="25" t="s">
        <v>256</v>
      </c>
      <c r="F32" s="26">
        <v>45810</v>
      </c>
      <c r="G32" s="25">
        <v>3086428</v>
      </c>
      <c r="H32" s="23" t="s">
        <v>54</v>
      </c>
      <c r="I32" s="25" t="s">
        <v>55</v>
      </c>
      <c r="J32" s="27">
        <v>82</v>
      </c>
      <c r="K32" s="27">
        <v>73.59</v>
      </c>
      <c r="L32" s="27">
        <v>8.41</v>
      </c>
      <c r="N32" s="34"/>
      <c r="O32" s="34"/>
    </row>
    <row r="33" spans="1:15" ht="22.5" x14ac:dyDescent="0.2">
      <c r="A33" s="21">
        <v>740</v>
      </c>
      <c r="B33" s="22">
        <v>483</v>
      </c>
      <c r="C33" s="23" t="s">
        <v>257</v>
      </c>
      <c r="D33" s="24">
        <v>67799189</v>
      </c>
      <c r="E33" s="25" t="s">
        <v>258</v>
      </c>
      <c r="F33" s="26">
        <v>45814</v>
      </c>
      <c r="G33" s="25">
        <v>3063641</v>
      </c>
      <c r="H33" s="23" t="s">
        <v>140</v>
      </c>
      <c r="I33" s="25" t="s">
        <v>141</v>
      </c>
      <c r="J33" s="27">
        <v>475</v>
      </c>
      <c r="K33" s="27">
        <v>460.22</v>
      </c>
      <c r="L33" s="27">
        <v>14.78</v>
      </c>
      <c r="N33" s="34"/>
      <c r="O33" s="34"/>
    </row>
    <row r="34" spans="1:15" ht="22.5" x14ac:dyDescent="0.2">
      <c r="A34" s="21">
        <v>741</v>
      </c>
      <c r="B34" s="22">
        <v>483</v>
      </c>
      <c r="C34" s="23" t="s">
        <v>257</v>
      </c>
      <c r="D34" s="24">
        <v>67799189</v>
      </c>
      <c r="E34" s="25" t="s">
        <v>258</v>
      </c>
      <c r="F34" s="26">
        <v>45814</v>
      </c>
      <c r="G34" s="25">
        <v>3079688</v>
      </c>
      <c r="H34" s="23" t="s">
        <v>142</v>
      </c>
      <c r="I34" s="25" t="s">
        <v>143</v>
      </c>
      <c r="J34" s="27">
        <v>107</v>
      </c>
      <c r="K34" s="27">
        <v>96.12</v>
      </c>
      <c r="L34" s="27">
        <v>10.88</v>
      </c>
      <c r="N34" s="34"/>
      <c r="O34" s="34"/>
    </row>
    <row r="35" spans="1:15" ht="22.5" x14ac:dyDescent="0.2">
      <c r="A35" s="21">
        <v>742</v>
      </c>
      <c r="B35" s="22">
        <v>483</v>
      </c>
      <c r="C35" s="23" t="s">
        <v>257</v>
      </c>
      <c r="D35" s="24">
        <v>67799189</v>
      </c>
      <c r="E35" s="25" t="s">
        <v>258</v>
      </c>
      <c r="F35" s="26">
        <v>45807</v>
      </c>
      <c r="G35" s="25">
        <v>3086303</v>
      </c>
      <c r="H35" s="23" t="s">
        <v>52</v>
      </c>
      <c r="I35" s="25" t="s">
        <v>53</v>
      </c>
      <c r="J35" s="27">
        <v>87</v>
      </c>
      <c r="K35" s="27">
        <v>80.989999999999995</v>
      </c>
      <c r="L35" s="27">
        <v>6.01</v>
      </c>
      <c r="N35" s="34"/>
      <c r="O35" s="34"/>
    </row>
    <row r="36" spans="1:15" ht="22.5" x14ac:dyDescent="0.2">
      <c r="A36" s="21">
        <v>743</v>
      </c>
      <c r="B36" s="22">
        <v>483</v>
      </c>
      <c r="C36" s="23" t="s">
        <v>257</v>
      </c>
      <c r="D36" s="24">
        <v>67799189</v>
      </c>
      <c r="E36" s="25" t="s">
        <v>258</v>
      </c>
      <c r="F36" s="26">
        <v>45807</v>
      </c>
      <c r="G36" s="25">
        <v>3086428</v>
      </c>
      <c r="H36" s="23" t="s">
        <v>54</v>
      </c>
      <c r="I36" s="25" t="s">
        <v>55</v>
      </c>
      <c r="J36" s="27">
        <v>82</v>
      </c>
      <c r="K36" s="27">
        <v>73.59</v>
      </c>
      <c r="L36" s="27">
        <v>8.41</v>
      </c>
      <c r="N36" s="34"/>
      <c r="O36" s="34"/>
    </row>
    <row r="37" spans="1:15" ht="22.5" x14ac:dyDescent="0.2">
      <c r="A37" s="21">
        <v>744</v>
      </c>
      <c r="B37" s="22">
        <v>483</v>
      </c>
      <c r="C37" s="23" t="s">
        <v>259</v>
      </c>
      <c r="D37" s="24">
        <v>67695643</v>
      </c>
      <c r="E37" s="25" t="s">
        <v>260</v>
      </c>
      <c r="F37" s="26">
        <v>45820</v>
      </c>
      <c r="G37" s="25">
        <v>3076254</v>
      </c>
      <c r="H37" s="23" t="s">
        <v>46</v>
      </c>
      <c r="I37" s="25" t="s">
        <v>47</v>
      </c>
      <c r="J37" s="27">
        <v>93</v>
      </c>
      <c r="K37" s="27">
        <v>80.37</v>
      </c>
      <c r="L37" s="27">
        <v>12.63</v>
      </c>
      <c r="N37" s="34"/>
      <c r="O37" s="34"/>
    </row>
    <row r="38" spans="1:15" ht="33.75" x14ac:dyDescent="0.2">
      <c r="A38" s="21">
        <v>745</v>
      </c>
      <c r="B38" s="22">
        <v>483</v>
      </c>
      <c r="C38" s="23" t="s">
        <v>259</v>
      </c>
      <c r="D38" s="24">
        <v>67695643</v>
      </c>
      <c r="E38" s="25" t="s">
        <v>260</v>
      </c>
      <c r="F38" s="26">
        <v>45820</v>
      </c>
      <c r="G38" s="25">
        <v>3076437</v>
      </c>
      <c r="H38" s="23" t="s">
        <v>245</v>
      </c>
      <c r="I38" s="25" t="s">
        <v>246</v>
      </c>
      <c r="J38" s="27">
        <v>79</v>
      </c>
      <c r="K38" s="27">
        <v>59.15</v>
      </c>
      <c r="L38" s="27">
        <v>19.850000000000001</v>
      </c>
      <c r="N38" s="34"/>
      <c r="O38" s="34"/>
    </row>
    <row r="39" spans="1:15" ht="33.75" x14ac:dyDescent="0.2">
      <c r="A39" s="21">
        <v>746</v>
      </c>
      <c r="B39" s="22">
        <v>483</v>
      </c>
      <c r="C39" s="23" t="s">
        <v>259</v>
      </c>
      <c r="D39" s="24">
        <v>67695643</v>
      </c>
      <c r="E39" s="25" t="s">
        <v>260</v>
      </c>
      <c r="F39" s="26">
        <v>45820</v>
      </c>
      <c r="G39" s="25">
        <v>3076486</v>
      </c>
      <c r="H39" s="23" t="s">
        <v>48</v>
      </c>
      <c r="I39" s="25" t="s">
        <v>49</v>
      </c>
      <c r="J39" s="27">
        <v>124</v>
      </c>
      <c r="K39" s="27">
        <v>100.48</v>
      </c>
      <c r="L39" s="27">
        <v>23.52</v>
      </c>
      <c r="N39" s="34"/>
      <c r="O39" s="34"/>
    </row>
    <row r="40" spans="1:15" ht="22.5" x14ac:dyDescent="0.2">
      <c r="A40" s="21">
        <v>747</v>
      </c>
      <c r="B40" s="22">
        <v>483</v>
      </c>
      <c r="C40" s="23" t="s">
        <v>259</v>
      </c>
      <c r="D40" s="24">
        <v>67695643</v>
      </c>
      <c r="E40" s="25" t="s">
        <v>260</v>
      </c>
      <c r="F40" s="26">
        <v>45799</v>
      </c>
      <c r="G40" s="25">
        <v>3086303</v>
      </c>
      <c r="H40" s="23" t="s">
        <v>52</v>
      </c>
      <c r="I40" s="25" t="s">
        <v>53</v>
      </c>
      <c r="J40" s="27">
        <v>87</v>
      </c>
      <c r="K40" s="27">
        <v>80.989999999999995</v>
      </c>
      <c r="L40" s="27">
        <v>6.01</v>
      </c>
      <c r="N40" s="34"/>
      <c r="O40" s="34"/>
    </row>
    <row r="41" spans="1:15" ht="22.5" x14ac:dyDescent="0.2">
      <c r="A41" s="21">
        <v>748</v>
      </c>
      <c r="B41" s="22">
        <v>483</v>
      </c>
      <c r="C41" s="23" t="s">
        <v>259</v>
      </c>
      <c r="D41" s="24">
        <v>67695643</v>
      </c>
      <c r="E41" s="25" t="s">
        <v>260</v>
      </c>
      <c r="F41" s="26">
        <v>45820</v>
      </c>
      <c r="G41" s="25">
        <v>3086303</v>
      </c>
      <c r="H41" s="23" t="s">
        <v>52</v>
      </c>
      <c r="I41" s="25" t="s">
        <v>53</v>
      </c>
      <c r="J41" s="27">
        <v>87</v>
      </c>
      <c r="K41" s="27">
        <v>80.989999999999995</v>
      </c>
      <c r="L41" s="27">
        <v>6.01</v>
      </c>
      <c r="N41" s="34"/>
      <c r="O41" s="34"/>
    </row>
    <row r="42" spans="1:15" ht="22.5" x14ac:dyDescent="0.2">
      <c r="A42" s="21">
        <v>749</v>
      </c>
      <c r="B42" s="22">
        <v>483</v>
      </c>
      <c r="C42" s="23" t="s">
        <v>259</v>
      </c>
      <c r="D42" s="24">
        <v>67695643</v>
      </c>
      <c r="E42" s="25" t="s">
        <v>260</v>
      </c>
      <c r="F42" s="26">
        <v>45799</v>
      </c>
      <c r="G42" s="25">
        <v>3086428</v>
      </c>
      <c r="H42" s="23" t="s">
        <v>54</v>
      </c>
      <c r="I42" s="25" t="s">
        <v>55</v>
      </c>
      <c r="J42" s="27">
        <v>82</v>
      </c>
      <c r="K42" s="27">
        <v>73.59</v>
      </c>
      <c r="L42" s="27">
        <v>8.41</v>
      </c>
      <c r="N42" s="34"/>
      <c r="O42" s="34"/>
    </row>
    <row r="43" spans="1:15" ht="22.5" x14ac:dyDescent="0.2">
      <c r="A43" s="21">
        <v>750</v>
      </c>
      <c r="B43" s="22">
        <v>483</v>
      </c>
      <c r="C43" s="23" t="s">
        <v>259</v>
      </c>
      <c r="D43" s="24">
        <v>67695643</v>
      </c>
      <c r="E43" s="25" t="s">
        <v>260</v>
      </c>
      <c r="F43" s="26">
        <v>45820</v>
      </c>
      <c r="G43" s="25">
        <v>3086428</v>
      </c>
      <c r="H43" s="23" t="s">
        <v>54</v>
      </c>
      <c r="I43" s="25" t="s">
        <v>55</v>
      </c>
      <c r="J43" s="27">
        <v>82</v>
      </c>
      <c r="K43" s="27">
        <v>73.59</v>
      </c>
      <c r="L43" s="27">
        <v>8.41</v>
      </c>
      <c r="N43" s="34"/>
      <c r="O43" s="34"/>
    </row>
    <row r="44" spans="1:15" ht="22.5" x14ac:dyDescent="0.2">
      <c r="A44" s="21">
        <v>751</v>
      </c>
      <c r="B44" s="22">
        <v>483</v>
      </c>
      <c r="C44" s="23" t="s">
        <v>257</v>
      </c>
      <c r="D44" s="24">
        <v>67882332</v>
      </c>
      <c r="E44" s="25" t="s">
        <v>258</v>
      </c>
      <c r="F44" s="26">
        <v>45828</v>
      </c>
      <c r="G44" s="25">
        <v>3076254</v>
      </c>
      <c r="H44" s="23" t="s">
        <v>46</v>
      </c>
      <c r="I44" s="25" t="s">
        <v>47</v>
      </c>
      <c r="J44" s="27">
        <v>93</v>
      </c>
      <c r="K44" s="27">
        <v>80.37</v>
      </c>
      <c r="L44" s="27">
        <v>12.63</v>
      </c>
      <c r="N44" s="34"/>
      <c r="O44" s="34"/>
    </row>
    <row r="45" spans="1:15" ht="33.75" x14ac:dyDescent="0.2">
      <c r="A45" s="21">
        <v>752</v>
      </c>
      <c r="B45" s="22">
        <v>483</v>
      </c>
      <c r="C45" s="23" t="s">
        <v>257</v>
      </c>
      <c r="D45" s="24">
        <v>67882332</v>
      </c>
      <c r="E45" s="25" t="s">
        <v>258</v>
      </c>
      <c r="F45" s="26">
        <v>45828</v>
      </c>
      <c r="G45" s="25">
        <v>3076437</v>
      </c>
      <c r="H45" s="23" t="s">
        <v>245</v>
      </c>
      <c r="I45" s="25" t="s">
        <v>246</v>
      </c>
      <c r="J45" s="27">
        <v>79</v>
      </c>
      <c r="K45" s="27">
        <v>59.15</v>
      </c>
      <c r="L45" s="27">
        <v>19.850000000000001</v>
      </c>
      <c r="N45" s="34"/>
      <c r="O45" s="34"/>
    </row>
    <row r="46" spans="1:15" ht="33.75" x14ac:dyDescent="0.2">
      <c r="A46" s="21">
        <v>753</v>
      </c>
      <c r="B46" s="22">
        <v>483</v>
      </c>
      <c r="C46" s="23" t="s">
        <v>257</v>
      </c>
      <c r="D46" s="24">
        <v>67882332</v>
      </c>
      <c r="E46" s="25" t="s">
        <v>258</v>
      </c>
      <c r="F46" s="26">
        <v>45828</v>
      </c>
      <c r="G46" s="25">
        <v>3076486</v>
      </c>
      <c r="H46" s="23" t="s">
        <v>48</v>
      </c>
      <c r="I46" s="25" t="s">
        <v>49</v>
      </c>
      <c r="J46" s="27">
        <v>124</v>
      </c>
      <c r="K46" s="27">
        <v>100.48</v>
      </c>
      <c r="L46" s="27">
        <v>23.52</v>
      </c>
      <c r="N46" s="34"/>
      <c r="O46" s="34"/>
    </row>
    <row r="47" spans="1:15" ht="22.5" x14ac:dyDescent="0.2">
      <c r="A47" s="21">
        <v>754</v>
      </c>
      <c r="B47" s="22">
        <v>483</v>
      </c>
      <c r="C47" s="23" t="s">
        <v>257</v>
      </c>
      <c r="D47" s="24">
        <v>67882332</v>
      </c>
      <c r="E47" s="25" t="s">
        <v>258</v>
      </c>
      <c r="F47" s="26">
        <v>45828</v>
      </c>
      <c r="G47" s="25">
        <v>3086303</v>
      </c>
      <c r="H47" s="23" t="s">
        <v>52</v>
      </c>
      <c r="I47" s="25" t="s">
        <v>53</v>
      </c>
      <c r="J47" s="27">
        <v>87</v>
      </c>
      <c r="K47" s="27">
        <v>80.989999999999995</v>
      </c>
      <c r="L47" s="27">
        <v>6.01</v>
      </c>
      <c r="N47" s="34"/>
      <c r="O47" s="34"/>
    </row>
    <row r="48" spans="1:15" ht="22.5" x14ac:dyDescent="0.2">
      <c r="A48" s="21">
        <v>755</v>
      </c>
      <c r="B48" s="22">
        <v>483</v>
      </c>
      <c r="C48" s="23" t="s">
        <v>257</v>
      </c>
      <c r="D48" s="24">
        <v>67882332</v>
      </c>
      <c r="E48" s="25" t="s">
        <v>258</v>
      </c>
      <c r="F48" s="26">
        <v>45828</v>
      </c>
      <c r="G48" s="25">
        <v>3086428</v>
      </c>
      <c r="H48" s="23" t="s">
        <v>54</v>
      </c>
      <c r="I48" s="25" t="s">
        <v>55</v>
      </c>
      <c r="J48" s="27">
        <v>82</v>
      </c>
      <c r="K48" s="27">
        <v>73.59</v>
      </c>
      <c r="L48" s="27">
        <v>8.41</v>
      </c>
      <c r="N48" s="34"/>
      <c r="O48" s="34"/>
    </row>
    <row r="49" spans="2:12" x14ac:dyDescent="0.2">
      <c r="B49" s="12"/>
      <c r="C49" s="28"/>
      <c r="D49" s="29"/>
      <c r="E49" s="12"/>
      <c r="F49" s="12"/>
      <c r="G49" s="12"/>
      <c r="H49" s="30"/>
      <c r="I49" s="30"/>
      <c r="J49" s="30"/>
      <c r="K49" s="36"/>
      <c r="L49" s="11"/>
    </row>
    <row r="50" spans="2:12" x14ac:dyDescent="0.2">
      <c r="B50" s="12"/>
      <c r="C50" s="28"/>
      <c r="D50" s="29"/>
      <c r="E50" s="15"/>
      <c r="F50" s="15"/>
      <c r="G50" s="15"/>
      <c r="H50" s="15"/>
      <c r="I50" s="30"/>
      <c r="J50" s="30"/>
      <c r="K50" s="11"/>
      <c r="L50" s="11"/>
    </row>
    <row r="51" spans="2:12" x14ac:dyDescent="0.2">
      <c r="B51" s="12"/>
      <c r="C51" s="28"/>
      <c r="D51" s="29"/>
      <c r="E51" s="12"/>
      <c r="F51" s="11"/>
      <c r="G51" s="11"/>
      <c r="H51" s="11"/>
      <c r="I51" s="30"/>
      <c r="J51" s="30"/>
      <c r="K51" s="11"/>
      <c r="L51" s="11"/>
    </row>
    <row r="52" spans="2:12" ht="13.5" thickBot="1" x14ac:dyDescent="0.25">
      <c r="B52" s="12"/>
      <c r="C52" s="28"/>
      <c r="D52" s="11" t="s">
        <v>62</v>
      </c>
      <c r="E52" s="31"/>
      <c r="F52" s="31"/>
      <c r="G52" s="31"/>
      <c r="H52" s="32"/>
      <c r="I52" s="11"/>
      <c r="J52" s="30"/>
      <c r="K52" s="11"/>
      <c r="L52" s="33">
        <v>321.76</v>
      </c>
    </row>
    <row r="53" spans="2:12" ht="13.5" thickTop="1" x14ac:dyDescent="0.2">
      <c r="B53" s="12"/>
      <c r="C53" s="28"/>
      <c r="D53" s="35"/>
      <c r="E53" s="31"/>
      <c r="F53" s="31"/>
      <c r="G53" s="31"/>
      <c r="H53" s="32"/>
      <c r="I53" s="11"/>
      <c r="J53" s="30"/>
      <c r="K53" s="11"/>
      <c r="L53" s="36"/>
    </row>
    <row r="57" spans="2:12" ht="59.65" customHeight="1" x14ac:dyDescent="0.25">
      <c r="C57"/>
      <c r="D57"/>
      <c r="E57"/>
      <c r="F57"/>
      <c r="G57"/>
      <c r="H57"/>
      <c r="I57"/>
      <c r="J57"/>
      <c r="K57"/>
    </row>
  </sheetData>
  <mergeCells count="4">
    <mergeCell ref="I14:J14"/>
    <mergeCell ref="B16:L16"/>
    <mergeCell ref="B17:L17"/>
    <mergeCell ref="J21:K21"/>
  </mergeCells>
  <dataValidations count="1">
    <dataValidation type="list" allowBlank="1" showInputMessage="1" showErrorMessage="1" sqref="C19:D19" xr:uid="{C5F47CDE-805D-431D-82C4-31BCE1208A6B}">
      <formula1>#REF!</formula1>
    </dataValidation>
  </dataValidations>
  <pageMargins left="0.25" right="0.25" top="0.5" bottom="0.5" header="0.3" footer="0.3"/>
  <pageSetup scale="94" fitToHeight="0" orientation="landscape" r:id="rId1"/>
  <headerFooter differentFirst="1">
    <oddFooter>&amp;L&amp;P</oddFooter>
    <firstFooter>&amp;L&amp;P&amp;C&amp;"Calibri,Bold"YOUR PROMPT PAYMENT WILL BE GREATLY APPRECIATED.
IF ANY OF THESE CLAIMS WERE BILLED IN ERROR, PLEASE EMAIL YVONNE AGUILAR  AT YVONNE.AGUILAR@BANNERHEALTH.COM, SO WE CAN BILL THE PATIENT IN A TIMELY MANNER.  THANK YOU.</first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EB198-1E7A-4037-A28F-9706ABBFCFFE}">
  <sheetPr>
    <tabColor rgb="FFFFFF00"/>
    <pageSetUpPr fitToPage="1"/>
  </sheetPr>
  <dimension ref="A1:L37"/>
  <sheetViews>
    <sheetView topLeftCell="B1" zoomScaleNormal="100" workbookViewId="0">
      <selection activeCell="G2" sqref="G2"/>
    </sheetView>
  </sheetViews>
  <sheetFormatPr defaultColWidth="8.85546875" defaultRowHeight="12.75" x14ac:dyDescent="0.2"/>
  <cols>
    <col min="1" max="1" width="14.42578125" style="2" hidden="1" customWidth="1"/>
    <col min="2" max="2" width="13.28515625" style="2" customWidth="1"/>
    <col min="3" max="3" width="14.28515625" style="2" customWidth="1"/>
    <col min="4" max="4" width="11.140625" style="2" customWidth="1"/>
    <col min="5" max="5" width="16.5703125" style="2" customWidth="1"/>
    <col min="6" max="7" width="11.42578125" style="2" customWidth="1"/>
    <col min="8" max="8" width="8.85546875" style="2"/>
    <col min="9" max="9" width="19.7109375" style="2" customWidth="1"/>
    <col min="10" max="10" width="10.42578125" style="2" customWidth="1"/>
    <col min="11" max="11" width="11.7109375" style="2" customWidth="1"/>
    <col min="12" max="12" width="9.7109375" style="2" customWidth="1"/>
    <col min="13" max="16384" width="8.85546875" style="2"/>
  </cols>
  <sheetData>
    <row r="1" spans="2:12" x14ac:dyDescent="0.2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x14ac:dyDescent="0.2">
      <c r="B2" s="1"/>
      <c r="C2" s="1"/>
      <c r="D2" s="1"/>
      <c r="E2" s="1"/>
      <c r="F2" s="1"/>
      <c r="G2" s="37" t="s">
        <v>311</v>
      </c>
      <c r="H2" s="1"/>
      <c r="I2" s="3" t="s">
        <v>0</v>
      </c>
      <c r="J2" s="4" t="s">
        <v>261</v>
      </c>
      <c r="K2" s="1"/>
      <c r="L2" s="1"/>
    </row>
    <row r="3" spans="2:12" x14ac:dyDescent="0.2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2:12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2:12" x14ac:dyDescent="0.2"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2:12" ht="4.9000000000000004" customHeight="1" x14ac:dyDescent="0.2"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2:12" x14ac:dyDescent="0.2">
      <c r="B7" s="3" t="s">
        <v>2</v>
      </c>
      <c r="C7" s="1"/>
      <c r="D7" s="1"/>
      <c r="E7" s="1"/>
      <c r="F7" s="1"/>
      <c r="G7" s="1"/>
      <c r="H7" s="1"/>
      <c r="I7" s="5" t="s">
        <v>3</v>
      </c>
      <c r="J7" s="1"/>
      <c r="K7" s="1"/>
      <c r="L7" s="1"/>
    </row>
    <row r="8" spans="2:12" x14ac:dyDescent="0.2">
      <c r="B8" s="3" t="s">
        <v>4</v>
      </c>
      <c r="C8" s="1"/>
      <c r="D8" s="1"/>
      <c r="E8" s="1"/>
      <c r="F8" s="1"/>
      <c r="G8" s="1"/>
      <c r="H8" s="1"/>
      <c r="I8" s="3" t="s">
        <v>5</v>
      </c>
      <c r="J8" s="1"/>
      <c r="K8" s="1"/>
      <c r="L8" s="1"/>
    </row>
    <row r="9" spans="2:12" x14ac:dyDescent="0.2">
      <c r="B9" s="3" t="s">
        <v>6</v>
      </c>
      <c r="C9" s="1"/>
      <c r="D9" s="1"/>
      <c r="E9" s="1"/>
      <c r="F9" s="1"/>
      <c r="G9" s="1"/>
      <c r="H9" s="1"/>
      <c r="I9" s="3" t="s">
        <v>7</v>
      </c>
      <c r="J9" s="1"/>
      <c r="K9" s="1"/>
      <c r="L9" s="1"/>
    </row>
    <row r="10" spans="2:12" x14ac:dyDescent="0.2">
      <c r="B10" s="3" t="s">
        <v>8</v>
      </c>
      <c r="C10" s="1"/>
      <c r="D10" s="1"/>
      <c r="E10" s="1"/>
      <c r="F10" s="1"/>
      <c r="G10" s="1"/>
      <c r="H10" s="1"/>
      <c r="I10" s="6" t="s">
        <v>9</v>
      </c>
      <c r="J10" s="1"/>
      <c r="K10" s="1"/>
      <c r="L10" s="1"/>
    </row>
    <row r="11" spans="2:12" x14ac:dyDescent="0.2">
      <c r="B11" s="3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2:12" x14ac:dyDescent="0.2">
      <c r="B12" s="3" t="s">
        <v>11</v>
      </c>
      <c r="C12" s="1"/>
      <c r="D12" s="1"/>
      <c r="E12" s="1"/>
      <c r="F12" s="1"/>
      <c r="G12" s="1"/>
      <c r="H12" s="1"/>
      <c r="I12" s="6" t="s">
        <v>12</v>
      </c>
      <c r="J12" s="6" t="s">
        <v>13</v>
      </c>
      <c r="K12" s="6"/>
      <c r="L12" s="1"/>
    </row>
    <row r="13" spans="2:12" ht="4.1500000000000004" customHeight="1" thickBot="1" x14ac:dyDescent="0.25">
      <c r="B13" s="3"/>
      <c r="C13" s="1"/>
      <c r="D13" s="1"/>
      <c r="E13" s="1"/>
      <c r="F13" s="6"/>
      <c r="G13" s="6"/>
      <c r="H13" s="6"/>
      <c r="I13" s="1"/>
      <c r="J13" s="1"/>
      <c r="K13" s="1"/>
      <c r="L13" s="1"/>
    </row>
    <row r="14" spans="2:12" ht="13.5" thickBot="1" x14ac:dyDescent="0.25">
      <c r="B14" s="7"/>
      <c r="C14" s="1"/>
      <c r="D14" s="1"/>
      <c r="E14" s="1"/>
      <c r="F14" s="1"/>
      <c r="G14" s="1"/>
      <c r="H14" s="1"/>
      <c r="I14" s="44" t="s">
        <v>14</v>
      </c>
      <c r="J14" s="45"/>
      <c r="K14" s="8" t="s">
        <v>15</v>
      </c>
      <c r="L14" s="9"/>
    </row>
    <row r="15" spans="2:12" ht="6" customHeight="1" thickBot="1" x14ac:dyDescent="0.25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2:12" ht="19.7" customHeight="1" thickTop="1" x14ac:dyDescent="0.2">
      <c r="B16" s="46" t="s">
        <v>16</v>
      </c>
      <c r="C16" s="46"/>
      <c r="D16" s="46"/>
      <c r="E16" s="46"/>
      <c r="F16" s="46"/>
      <c r="G16" s="46"/>
      <c r="H16" s="46"/>
      <c r="I16" s="46"/>
      <c r="J16" s="46"/>
      <c r="K16" s="46"/>
      <c r="L16" s="46"/>
    </row>
    <row r="17" spans="1:12" ht="15.6" customHeight="1" x14ac:dyDescent="0.2">
      <c r="B17" s="47">
        <v>45838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</row>
    <row r="18" spans="1:12" x14ac:dyDescent="0.2">
      <c r="B18" s="11" t="s">
        <v>17</v>
      </c>
      <c r="C18" s="11"/>
      <c r="D18" s="11"/>
      <c r="E18" s="12"/>
      <c r="F18" s="11"/>
      <c r="G18" s="11"/>
      <c r="H18" s="11"/>
      <c r="I18" s="1"/>
      <c r="J18" s="11"/>
      <c r="K18" s="11"/>
      <c r="L18" s="11"/>
    </row>
    <row r="19" spans="1:12" x14ac:dyDescent="0.2">
      <c r="A19" s="2" t="s">
        <v>18</v>
      </c>
      <c r="B19" s="11" t="s">
        <v>19</v>
      </c>
      <c r="C19" s="14" t="s">
        <v>262</v>
      </c>
      <c r="D19" s="11"/>
      <c r="E19" s="12"/>
      <c r="F19" s="1"/>
      <c r="G19" s="1"/>
      <c r="H19" s="1"/>
      <c r="I19" s="1"/>
      <c r="J19" s="1"/>
      <c r="K19" s="1"/>
      <c r="L19" s="11"/>
    </row>
    <row r="20" spans="1:12" ht="13.5" thickBot="1" x14ac:dyDescent="0.25">
      <c r="A20" s="2">
        <v>4</v>
      </c>
      <c r="B20" s="11" t="s">
        <v>21</v>
      </c>
      <c r="C20" s="14">
        <v>3820</v>
      </c>
      <c r="D20" s="11"/>
      <c r="E20" s="12"/>
      <c r="F20" s="15"/>
      <c r="G20" s="15"/>
      <c r="H20" s="16"/>
      <c r="I20" s="16"/>
      <c r="J20" s="11"/>
      <c r="K20" s="11"/>
      <c r="L20" s="11"/>
    </row>
    <row r="21" spans="1:12" ht="13.9" customHeight="1" thickBot="1" x14ac:dyDescent="0.25">
      <c r="A21" s="2" t="s">
        <v>22</v>
      </c>
      <c r="B21" s="11" t="s">
        <v>23</v>
      </c>
      <c r="C21" s="14">
        <v>4273860</v>
      </c>
      <c r="E21" s="12"/>
      <c r="F21" s="15"/>
      <c r="G21" s="15"/>
      <c r="H21" s="16"/>
      <c r="I21" s="17" t="s">
        <v>24</v>
      </c>
      <c r="J21" s="52" t="s">
        <v>25</v>
      </c>
      <c r="K21" s="49"/>
      <c r="L21" s="11"/>
    </row>
    <row r="22" spans="1:12" x14ac:dyDescent="0.2">
      <c r="A22" s="2">
        <v>0</v>
      </c>
      <c r="B22" s="11" t="s">
        <v>26</v>
      </c>
      <c r="C22" s="14" t="s">
        <v>27</v>
      </c>
      <c r="D22" s="11"/>
      <c r="E22" s="12"/>
      <c r="F22" s="12"/>
      <c r="G22" s="12"/>
      <c r="H22" s="11"/>
      <c r="I22" s="11"/>
      <c r="J22" s="11"/>
      <c r="K22" s="11"/>
      <c r="L22" s="11"/>
    </row>
    <row r="23" spans="1:12" ht="4.1500000000000004" customHeight="1" x14ac:dyDescent="0.2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</row>
    <row r="24" spans="1:12" s="20" customFormat="1" ht="22.5" x14ac:dyDescent="0.2">
      <c r="A24" s="18" t="s">
        <v>28</v>
      </c>
      <c r="B24" s="19" t="s">
        <v>29</v>
      </c>
      <c r="C24" s="19" t="s">
        <v>30</v>
      </c>
      <c r="D24" s="19" t="s">
        <v>31</v>
      </c>
      <c r="E24" s="19" t="s">
        <v>32</v>
      </c>
      <c r="F24" s="19" t="s">
        <v>33</v>
      </c>
      <c r="G24" s="19" t="s">
        <v>34</v>
      </c>
      <c r="H24" s="19" t="s">
        <v>35</v>
      </c>
      <c r="I24" s="19" t="s">
        <v>36</v>
      </c>
      <c r="J24" s="19" t="s">
        <v>37</v>
      </c>
      <c r="K24" s="19" t="s">
        <v>38</v>
      </c>
      <c r="L24" s="19" t="s">
        <v>39</v>
      </c>
    </row>
    <row r="25" spans="1:12" ht="22.5" x14ac:dyDescent="0.2">
      <c r="A25" s="21">
        <v>570</v>
      </c>
      <c r="B25" s="22">
        <v>483</v>
      </c>
      <c r="C25" s="23" t="s">
        <v>263</v>
      </c>
      <c r="D25" s="24">
        <v>67817585</v>
      </c>
      <c r="E25" s="25" t="s">
        <v>264</v>
      </c>
      <c r="F25" s="26">
        <v>45811</v>
      </c>
      <c r="G25" s="25">
        <v>3074192</v>
      </c>
      <c r="H25" s="23" t="s">
        <v>125</v>
      </c>
      <c r="I25" s="25" t="s">
        <v>126</v>
      </c>
      <c r="J25" s="27">
        <v>202</v>
      </c>
      <c r="K25" s="27">
        <v>183.25</v>
      </c>
      <c r="L25" s="27">
        <v>18.75</v>
      </c>
    </row>
    <row r="26" spans="1:12" ht="22.5" x14ac:dyDescent="0.2">
      <c r="A26" s="21">
        <v>571</v>
      </c>
      <c r="B26" s="22">
        <v>483</v>
      </c>
      <c r="C26" s="23" t="s">
        <v>263</v>
      </c>
      <c r="D26" s="24">
        <v>67817585</v>
      </c>
      <c r="E26" s="25" t="s">
        <v>264</v>
      </c>
      <c r="F26" s="26">
        <v>45811</v>
      </c>
      <c r="G26" s="25">
        <v>3086303</v>
      </c>
      <c r="H26" s="23" t="s">
        <v>52</v>
      </c>
      <c r="I26" s="25" t="s">
        <v>53</v>
      </c>
      <c r="J26" s="27">
        <v>87</v>
      </c>
      <c r="K26" s="27">
        <v>80.989999999999995</v>
      </c>
      <c r="L26" s="27">
        <v>6.01</v>
      </c>
    </row>
    <row r="27" spans="1:12" ht="22.5" x14ac:dyDescent="0.2">
      <c r="A27" s="21">
        <v>572</v>
      </c>
      <c r="B27" s="22">
        <v>483</v>
      </c>
      <c r="C27" s="23" t="s">
        <v>263</v>
      </c>
      <c r="D27" s="24">
        <v>67817585</v>
      </c>
      <c r="E27" s="25" t="s">
        <v>264</v>
      </c>
      <c r="F27" s="26">
        <v>45811</v>
      </c>
      <c r="G27" s="25">
        <v>3086428</v>
      </c>
      <c r="H27" s="23" t="s">
        <v>54</v>
      </c>
      <c r="I27" s="25" t="s">
        <v>55</v>
      </c>
      <c r="J27" s="27">
        <v>82</v>
      </c>
      <c r="K27" s="27">
        <v>73.59</v>
      </c>
      <c r="L27" s="27">
        <v>8.41</v>
      </c>
    </row>
    <row r="28" spans="1:12" ht="22.5" x14ac:dyDescent="0.2">
      <c r="A28" s="21">
        <v>573</v>
      </c>
      <c r="B28" s="22">
        <v>483</v>
      </c>
      <c r="C28" s="23" t="s">
        <v>263</v>
      </c>
      <c r="D28" s="24">
        <v>67817585</v>
      </c>
      <c r="E28" s="25" t="s">
        <v>264</v>
      </c>
      <c r="F28" s="26">
        <v>45811</v>
      </c>
      <c r="G28" s="25">
        <v>3088119</v>
      </c>
      <c r="H28" s="23" t="s">
        <v>107</v>
      </c>
      <c r="I28" s="25" t="s">
        <v>108</v>
      </c>
      <c r="J28" s="27">
        <v>62</v>
      </c>
      <c r="K28" s="27">
        <v>57.56</v>
      </c>
      <c r="L28" s="27">
        <v>4.4400000000000004</v>
      </c>
    </row>
    <row r="29" spans="1:12" x14ac:dyDescent="0.2">
      <c r="B29" s="12"/>
      <c r="C29" s="28"/>
      <c r="D29" s="29"/>
      <c r="E29" s="12"/>
      <c r="F29" s="12"/>
      <c r="G29" s="12"/>
      <c r="H29" s="30"/>
      <c r="I29" s="30"/>
      <c r="J29" s="30"/>
      <c r="K29" s="11"/>
      <c r="L29" s="11"/>
    </row>
    <row r="30" spans="1:12" x14ac:dyDescent="0.2">
      <c r="B30" s="12"/>
      <c r="C30" s="28"/>
      <c r="D30" s="29"/>
      <c r="E30" s="15"/>
      <c r="F30" s="15"/>
      <c r="G30" s="15"/>
      <c r="H30" s="15"/>
      <c r="I30" s="30"/>
      <c r="J30" s="30"/>
      <c r="K30" s="11"/>
      <c r="L30" s="11"/>
    </row>
    <row r="31" spans="1:12" x14ac:dyDescent="0.2">
      <c r="B31" s="12"/>
      <c r="C31" s="28"/>
      <c r="D31" s="29"/>
      <c r="E31" s="12"/>
      <c r="F31" s="11"/>
      <c r="G31" s="11"/>
      <c r="H31" s="11"/>
      <c r="I31" s="30"/>
      <c r="J31" s="30"/>
      <c r="K31" s="11"/>
      <c r="L31" s="11"/>
    </row>
    <row r="32" spans="1:12" ht="13.5" thickBot="1" x14ac:dyDescent="0.25">
      <c r="B32" s="12"/>
      <c r="C32" s="28"/>
      <c r="D32" s="11" t="s">
        <v>62</v>
      </c>
      <c r="E32" s="31"/>
      <c r="F32" s="31"/>
      <c r="G32" s="31"/>
      <c r="H32" s="32"/>
      <c r="I32" s="11"/>
      <c r="J32" s="30"/>
      <c r="K32" s="11"/>
      <c r="L32" s="33">
        <v>37.61</v>
      </c>
    </row>
    <row r="33" spans="2:12" ht="13.5" thickTop="1" x14ac:dyDescent="0.2">
      <c r="B33" s="12"/>
      <c r="C33" s="28"/>
      <c r="D33" s="35"/>
      <c r="E33" s="31"/>
      <c r="F33" s="31"/>
      <c r="G33" s="31"/>
      <c r="H33" s="32"/>
      <c r="I33" s="11"/>
      <c r="J33" s="30"/>
      <c r="K33" s="11"/>
      <c r="L33" s="36"/>
    </row>
    <row r="37" spans="2:12" ht="59.65" customHeight="1" x14ac:dyDescent="0.25">
      <c r="C37"/>
      <c r="D37"/>
      <c r="E37"/>
      <c r="F37"/>
      <c r="G37"/>
      <c r="H37"/>
      <c r="I37"/>
      <c r="J37"/>
      <c r="K37"/>
    </row>
  </sheetData>
  <mergeCells count="4">
    <mergeCell ref="I14:J14"/>
    <mergeCell ref="B16:L16"/>
    <mergeCell ref="B17:L17"/>
    <mergeCell ref="J21:K21"/>
  </mergeCells>
  <dataValidations count="1">
    <dataValidation type="list" allowBlank="1" showInputMessage="1" showErrorMessage="1" sqref="C19:D19" xr:uid="{17ED664C-91C6-4D4C-9CAA-420C61A7D5E7}">
      <formula1>#REF!</formula1>
    </dataValidation>
  </dataValidations>
  <pageMargins left="0.25" right="0.25" top="0.5" bottom="0.5" header="0.3" footer="0.3"/>
  <pageSetup scale="97" fitToHeight="0" orientation="landscape" r:id="rId1"/>
  <headerFooter differentFirst="1">
    <oddFooter>&amp;L&amp;P</oddFooter>
    <firstFooter>&amp;L&amp;P&amp;C&amp;"Calibri,Bold"YOUR PROMPT PAYMENT WILL BE GREATLY APPRECIATED.
IF ANY OF THESE CLAIMS WERE BILLED IN ERROR, PLEASE EMAIL YVONNE AGUILAR  AT YVONNE.AGUILAR@BANNERHEALTH.COM, SO WE CAN BILL THE PATIENT IN A TIMELY MANNER.  THANK YOU.</first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57032-33FB-46AB-A7E6-E89BF2CD8AE9}">
  <sheetPr>
    <tabColor rgb="FFFFFF00"/>
    <pageSetUpPr fitToPage="1"/>
  </sheetPr>
  <dimension ref="A1:O39"/>
  <sheetViews>
    <sheetView topLeftCell="B1" zoomScaleNormal="100" workbookViewId="0">
      <selection activeCell="G2" sqref="G2"/>
    </sheetView>
  </sheetViews>
  <sheetFormatPr defaultColWidth="8.85546875" defaultRowHeight="12.75" x14ac:dyDescent="0.2"/>
  <cols>
    <col min="1" max="1" width="8.85546875" style="2" hidden="1" customWidth="1"/>
    <col min="2" max="2" width="13.28515625" style="2" customWidth="1"/>
    <col min="3" max="3" width="14.5703125" style="2" customWidth="1"/>
    <col min="4" max="4" width="14" style="2" customWidth="1"/>
    <col min="5" max="5" width="18.42578125" style="2" customWidth="1"/>
    <col min="6" max="7" width="11.42578125" style="2" customWidth="1"/>
    <col min="8" max="8" width="8.85546875" style="2"/>
    <col min="9" max="9" width="19.7109375" style="2" customWidth="1"/>
    <col min="10" max="10" width="10.28515625" style="2" customWidth="1"/>
    <col min="11" max="11" width="11.85546875" style="2" customWidth="1"/>
    <col min="12" max="12" width="9.5703125" style="2" customWidth="1"/>
    <col min="13" max="16384" width="8.85546875" style="2"/>
  </cols>
  <sheetData>
    <row r="1" spans="2:12" x14ac:dyDescent="0.2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x14ac:dyDescent="0.2">
      <c r="B2" s="1"/>
      <c r="C2" s="1"/>
      <c r="D2" s="1"/>
      <c r="E2" s="1"/>
      <c r="F2" s="1"/>
      <c r="G2" s="37" t="s">
        <v>311</v>
      </c>
      <c r="H2" s="1"/>
      <c r="I2" s="3" t="s">
        <v>0</v>
      </c>
      <c r="J2" s="4" t="s">
        <v>265</v>
      </c>
      <c r="K2" s="1"/>
      <c r="L2" s="1"/>
    </row>
    <row r="3" spans="2:12" x14ac:dyDescent="0.2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2:12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2:12" x14ac:dyDescent="0.2"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2:12" ht="4.9000000000000004" customHeight="1" x14ac:dyDescent="0.2"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2:12" x14ac:dyDescent="0.2">
      <c r="B7" s="3" t="s">
        <v>2</v>
      </c>
      <c r="C7" s="1"/>
      <c r="D7" s="1"/>
      <c r="E7" s="1"/>
      <c r="F7" s="1"/>
      <c r="G7" s="1"/>
      <c r="H7" s="1"/>
      <c r="I7" s="5" t="s">
        <v>3</v>
      </c>
      <c r="J7" s="1"/>
      <c r="K7" s="1"/>
      <c r="L7" s="1"/>
    </row>
    <row r="8" spans="2:12" x14ac:dyDescent="0.2">
      <c r="B8" s="3" t="s">
        <v>4</v>
      </c>
      <c r="C8" s="1"/>
      <c r="D8" s="1"/>
      <c r="E8" s="1"/>
      <c r="F8" s="1"/>
      <c r="G8" s="1"/>
      <c r="H8" s="1"/>
      <c r="I8" s="3" t="s">
        <v>5</v>
      </c>
      <c r="J8" s="1"/>
      <c r="K8" s="1"/>
      <c r="L8" s="1"/>
    </row>
    <row r="9" spans="2:12" x14ac:dyDescent="0.2">
      <c r="B9" s="3" t="s">
        <v>6</v>
      </c>
      <c r="C9" s="1"/>
      <c r="D9" s="1"/>
      <c r="E9" s="1"/>
      <c r="F9" s="1"/>
      <c r="G9" s="1"/>
      <c r="H9" s="1"/>
      <c r="I9" s="3" t="s">
        <v>7</v>
      </c>
      <c r="J9" s="1"/>
      <c r="K9" s="1"/>
      <c r="L9" s="1"/>
    </row>
    <row r="10" spans="2:12" x14ac:dyDescent="0.2">
      <c r="B10" s="3" t="s">
        <v>8</v>
      </c>
      <c r="C10" s="1"/>
      <c r="D10" s="1"/>
      <c r="E10" s="1"/>
      <c r="F10" s="1"/>
      <c r="G10" s="1"/>
      <c r="H10" s="1"/>
      <c r="I10" s="6" t="s">
        <v>9</v>
      </c>
      <c r="J10" s="1"/>
      <c r="K10" s="1"/>
      <c r="L10" s="1"/>
    </row>
    <row r="11" spans="2:12" x14ac:dyDescent="0.2">
      <c r="B11" s="3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2:12" x14ac:dyDescent="0.2">
      <c r="B12" s="3" t="s">
        <v>11</v>
      </c>
      <c r="C12" s="1"/>
      <c r="D12" s="1"/>
      <c r="E12" s="1"/>
      <c r="F12" s="1"/>
      <c r="G12" s="1"/>
      <c r="H12" s="1"/>
      <c r="I12" s="6" t="s">
        <v>12</v>
      </c>
      <c r="J12" s="6" t="s">
        <v>13</v>
      </c>
      <c r="K12" s="6"/>
      <c r="L12" s="1"/>
    </row>
    <row r="13" spans="2:12" ht="4.1500000000000004" customHeight="1" thickBot="1" x14ac:dyDescent="0.25">
      <c r="B13" s="3"/>
      <c r="C13" s="1"/>
      <c r="D13" s="1"/>
      <c r="E13" s="1"/>
      <c r="F13" s="6"/>
      <c r="G13" s="6"/>
      <c r="H13" s="6"/>
      <c r="I13" s="1"/>
      <c r="J13" s="1"/>
      <c r="K13" s="1"/>
      <c r="L13" s="1"/>
    </row>
    <row r="14" spans="2:12" ht="13.5" thickBot="1" x14ac:dyDescent="0.25">
      <c r="B14" s="7"/>
      <c r="C14" s="1"/>
      <c r="D14" s="1"/>
      <c r="E14" s="1"/>
      <c r="F14" s="1"/>
      <c r="G14" s="1"/>
      <c r="H14" s="1"/>
      <c r="I14" s="44" t="s">
        <v>14</v>
      </c>
      <c r="J14" s="45"/>
      <c r="K14" s="8" t="s">
        <v>15</v>
      </c>
      <c r="L14" s="9"/>
    </row>
    <row r="15" spans="2:12" ht="6" customHeight="1" thickBot="1" x14ac:dyDescent="0.25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2:12" ht="19.7" customHeight="1" thickTop="1" x14ac:dyDescent="0.2">
      <c r="B16" s="46" t="s">
        <v>16</v>
      </c>
      <c r="C16" s="46"/>
      <c r="D16" s="46"/>
      <c r="E16" s="46"/>
      <c r="F16" s="46"/>
      <c r="G16" s="46"/>
      <c r="H16" s="46"/>
      <c r="I16" s="46"/>
      <c r="J16" s="46"/>
      <c r="K16" s="46"/>
      <c r="L16" s="46"/>
    </row>
    <row r="17" spans="1:15" ht="15.6" customHeight="1" x14ac:dyDescent="0.2">
      <c r="B17" s="47">
        <v>45838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</row>
    <row r="18" spans="1:15" x14ac:dyDescent="0.2">
      <c r="B18" s="11" t="s">
        <v>17</v>
      </c>
      <c r="C18" s="11"/>
      <c r="D18" s="11"/>
      <c r="E18" s="12"/>
      <c r="F18" s="11"/>
      <c r="G18" s="11"/>
      <c r="H18" s="11"/>
      <c r="I18" s="1"/>
      <c r="J18" s="11"/>
      <c r="K18" s="11"/>
      <c r="L18" s="11"/>
    </row>
    <row r="19" spans="1:15" x14ac:dyDescent="0.2">
      <c r="A19" s="2" t="s">
        <v>18</v>
      </c>
      <c r="B19" s="11" t="s">
        <v>19</v>
      </c>
      <c r="C19" s="14" t="s">
        <v>266</v>
      </c>
      <c r="D19" s="11"/>
      <c r="E19" s="12"/>
      <c r="F19" s="1"/>
      <c r="G19" s="1"/>
      <c r="H19" s="1"/>
      <c r="I19" s="1"/>
      <c r="J19" s="1"/>
      <c r="K19" s="1"/>
      <c r="L19" s="11"/>
    </row>
    <row r="20" spans="1:15" ht="13.5" thickBot="1" x14ac:dyDescent="0.25">
      <c r="A20" s="2">
        <v>6</v>
      </c>
      <c r="B20" s="11" t="s">
        <v>21</v>
      </c>
      <c r="C20" s="14">
        <v>4985</v>
      </c>
      <c r="D20" s="11"/>
      <c r="E20" s="12"/>
      <c r="F20" s="15"/>
      <c r="G20" s="15"/>
      <c r="H20" s="16"/>
      <c r="I20" s="16"/>
      <c r="J20" s="11"/>
      <c r="K20" s="11"/>
      <c r="L20" s="11"/>
    </row>
    <row r="21" spans="1:15" ht="13.9" customHeight="1" thickBot="1" x14ac:dyDescent="0.25">
      <c r="A21" s="2" t="s">
        <v>22</v>
      </c>
      <c r="B21" s="11" t="s">
        <v>23</v>
      </c>
      <c r="C21" s="14">
        <v>4277450</v>
      </c>
      <c r="E21" s="12"/>
      <c r="F21" s="15"/>
      <c r="G21" s="15"/>
      <c r="H21" s="16"/>
      <c r="I21" s="17" t="s">
        <v>24</v>
      </c>
      <c r="J21" s="52" t="s">
        <v>25</v>
      </c>
      <c r="K21" s="49"/>
      <c r="L21" s="11"/>
    </row>
    <row r="22" spans="1:15" x14ac:dyDescent="0.2">
      <c r="A22" s="2">
        <v>0</v>
      </c>
      <c r="B22" s="11" t="s">
        <v>26</v>
      </c>
      <c r="C22" s="14" t="s">
        <v>27</v>
      </c>
      <c r="D22" s="11"/>
      <c r="E22" s="12"/>
      <c r="F22" s="12"/>
      <c r="G22" s="12"/>
      <c r="H22" s="11"/>
      <c r="I22" s="11"/>
      <c r="J22" s="11"/>
      <c r="K22" s="11"/>
      <c r="L22" s="11"/>
    </row>
    <row r="23" spans="1:15" ht="4.1500000000000004" customHeight="1" x14ac:dyDescent="0.2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</row>
    <row r="24" spans="1:15" s="20" customFormat="1" ht="22.5" x14ac:dyDescent="0.2">
      <c r="A24" s="18" t="s">
        <v>28</v>
      </c>
      <c r="B24" s="19" t="s">
        <v>29</v>
      </c>
      <c r="C24" s="19" t="s">
        <v>30</v>
      </c>
      <c r="D24" s="19" t="s">
        <v>31</v>
      </c>
      <c r="E24" s="19" t="s">
        <v>32</v>
      </c>
      <c r="F24" s="19" t="s">
        <v>33</v>
      </c>
      <c r="G24" s="19" t="s">
        <v>34</v>
      </c>
      <c r="H24" s="19" t="s">
        <v>35</v>
      </c>
      <c r="I24" s="19" t="s">
        <v>36</v>
      </c>
      <c r="J24" s="19" t="s">
        <v>37</v>
      </c>
      <c r="K24" s="19" t="s">
        <v>38</v>
      </c>
      <c r="L24" s="19" t="s">
        <v>39</v>
      </c>
    </row>
    <row r="25" spans="1:15" ht="22.5" x14ac:dyDescent="0.2">
      <c r="A25" s="21">
        <v>688</v>
      </c>
      <c r="B25" s="22">
        <v>483</v>
      </c>
      <c r="C25" s="23" t="s">
        <v>267</v>
      </c>
      <c r="D25" s="24">
        <v>67526640</v>
      </c>
      <c r="E25" s="25" t="s">
        <v>268</v>
      </c>
      <c r="F25" s="26">
        <v>45782</v>
      </c>
      <c r="G25" s="25">
        <v>3086428</v>
      </c>
      <c r="H25" s="23" t="s">
        <v>54</v>
      </c>
      <c r="I25" s="25" t="s">
        <v>55</v>
      </c>
      <c r="J25" s="27">
        <v>82</v>
      </c>
      <c r="K25" s="27">
        <v>73.59</v>
      </c>
      <c r="L25" s="27">
        <v>8.41</v>
      </c>
      <c r="N25" s="34"/>
      <c r="O25" s="34"/>
    </row>
    <row r="26" spans="1:15" ht="22.5" x14ac:dyDescent="0.2">
      <c r="A26" s="21">
        <v>689</v>
      </c>
      <c r="B26" s="22">
        <v>483</v>
      </c>
      <c r="C26" s="23" t="s">
        <v>267</v>
      </c>
      <c r="D26" s="24">
        <v>67526640</v>
      </c>
      <c r="E26" s="25" t="s">
        <v>268</v>
      </c>
      <c r="F26" s="26">
        <v>45810</v>
      </c>
      <c r="G26" s="25">
        <v>3086428</v>
      </c>
      <c r="H26" s="23" t="s">
        <v>54</v>
      </c>
      <c r="I26" s="25" t="s">
        <v>55</v>
      </c>
      <c r="J26" s="27">
        <v>82</v>
      </c>
      <c r="K26" s="27">
        <v>73.59</v>
      </c>
      <c r="L26" s="27">
        <v>8.41</v>
      </c>
      <c r="N26" s="34"/>
      <c r="O26" s="34"/>
    </row>
    <row r="27" spans="1:15" ht="22.5" x14ac:dyDescent="0.2">
      <c r="A27" s="21">
        <v>690</v>
      </c>
      <c r="B27" s="22">
        <v>483</v>
      </c>
      <c r="C27" s="23" t="s">
        <v>267</v>
      </c>
      <c r="D27" s="24">
        <v>67572875</v>
      </c>
      <c r="E27" s="25" t="s">
        <v>268</v>
      </c>
      <c r="F27" s="26">
        <v>45833</v>
      </c>
      <c r="G27" s="25">
        <v>3522893</v>
      </c>
      <c r="H27" s="23" t="s">
        <v>77</v>
      </c>
      <c r="I27" s="25" t="s">
        <v>78</v>
      </c>
      <c r="J27" s="27">
        <v>2518</v>
      </c>
      <c r="K27" s="27">
        <v>1664.9</v>
      </c>
      <c r="L27" s="27">
        <v>853.1</v>
      </c>
      <c r="N27" s="34"/>
      <c r="O27" s="34"/>
    </row>
    <row r="28" spans="1:15" ht="22.5" x14ac:dyDescent="0.2">
      <c r="A28" s="21">
        <v>691</v>
      </c>
      <c r="B28" s="22">
        <v>483</v>
      </c>
      <c r="C28" s="23" t="s">
        <v>267</v>
      </c>
      <c r="D28" s="24">
        <v>67572875</v>
      </c>
      <c r="E28" s="25" t="s">
        <v>268</v>
      </c>
      <c r="F28" s="26">
        <v>45833</v>
      </c>
      <c r="G28" s="25">
        <v>3528965</v>
      </c>
      <c r="H28" s="23" t="s">
        <v>127</v>
      </c>
      <c r="I28" s="25" t="s">
        <v>128</v>
      </c>
      <c r="J28" s="27">
        <v>3299</v>
      </c>
      <c r="K28" s="27">
        <v>2181.3000000000002</v>
      </c>
      <c r="L28" s="27">
        <v>1117.7</v>
      </c>
      <c r="N28" s="34"/>
      <c r="O28" s="34"/>
    </row>
    <row r="29" spans="1:15" ht="22.5" x14ac:dyDescent="0.2">
      <c r="A29" s="21">
        <v>692</v>
      </c>
      <c r="B29" s="22">
        <v>483</v>
      </c>
      <c r="C29" s="23" t="s">
        <v>267</v>
      </c>
      <c r="D29" s="24">
        <v>67572875</v>
      </c>
      <c r="E29" s="25" t="s">
        <v>268</v>
      </c>
      <c r="F29" s="26">
        <v>45833</v>
      </c>
      <c r="G29" s="25">
        <v>6868061</v>
      </c>
      <c r="H29" s="23" t="s">
        <v>79</v>
      </c>
      <c r="I29" s="25" t="s">
        <v>80</v>
      </c>
      <c r="J29" s="27">
        <v>60</v>
      </c>
      <c r="K29" s="27">
        <v>39.67</v>
      </c>
      <c r="L29" s="27">
        <v>20.329999999999998</v>
      </c>
      <c r="N29" s="34"/>
      <c r="O29" s="34"/>
    </row>
    <row r="30" spans="1:15" ht="22.5" x14ac:dyDescent="0.2">
      <c r="A30" s="21">
        <v>693</v>
      </c>
      <c r="B30" s="22">
        <v>483</v>
      </c>
      <c r="C30" s="23" t="s">
        <v>267</v>
      </c>
      <c r="D30" s="24">
        <v>67962571</v>
      </c>
      <c r="E30" s="25" t="s">
        <v>268</v>
      </c>
      <c r="F30" s="26">
        <v>45838</v>
      </c>
      <c r="G30" s="25">
        <v>3086428</v>
      </c>
      <c r="H30" s="23" t="s">
        <v>54</v>
      </c>
      <c r="I30" s="25" t="s">
        <v>55</v>
      </c>
      <c r="J30" s="27">
        <v>82</v>
      </c>
      <c r="K30" s="27">
        <v>73.59</v>
      </c>
      <c r="L30" s="27">
        <v>8.41</v>
      </c>
      <c r="N30" s="34"/>
      <c r="O30" s="34"/>
    </row>
    <row r="31" spans="1:15" x14ac:dyDescent="0.2">
      <c r="B31" s="12"/>
      <c r="C31" s="28"/>
      <c r="D31" s="29"/>
      <c r="E31" s="12"/>
      <c r="F31" s="12"/>
      <c r="G31" s="12"/>
      <c r="H31" s="30"/>
      <c r="I31" s="30"/>
      <c r="J31" s="30"/>
      <c r="K31" s="36"/>
      <c r="L31" s="11"/>
    </row>
    <row r="32" spans="1:15" x14ac:dyDescent="0.2">
      <c r="B32" s="12"/>
      <c r="C32" s="28"/>
      <c r="D32" s="29"/>
      <c r="E32" s="15"/>
      <c r="F32" s="15"/>
      <c r="G32" s="15"/>
      <c r="H32" s="15"/>
      <c r="I32" s="30"/>
      <c r="J32" s="30"/>
      <c r="K32" s="11"/>
      <c r="L32" s="11"/>
    </row>
    <row r="33" spans="2:12" x14ac:dyDescent="0.2">
      <c r="B33" s="12"/>
      <c r="C33" s="28"/>
      <c r="D33" s="29"/>
      <c r="E33" s="12"/>
      <c r="F33" s="11"/>
      <c r="G33" s="11"/>
      <c r="H33" s="11"/>
      <c r="I33" s="30"/>
      <c r="J33" s="30"/>
      <c r="K33" s="11"/>
      <c r="L33" s="11"/>
    </row>
    <row r="34" spans="2:12" ht="13.5" thickBot="1" x14ac:dyDescent="0.25">
      <c r="B34" s="12"/>
      <c r="C34" s="28"/>
      <c r="D34" s="11" t="s">
        <v>62</v>
      </c>
      <c r="E34" s="31"/>
      <c r="F34" s="31"/>
      <c r="G34" s="31"/>
      <c r="H34" s="32"/>
      <c r="I34" s="11"/>
      <c r="J34" s="30"/>
      <c r="K34" s="11"/>
      <c r="L34" s="33">
        <v>2016.3600000000001</v>
      </c>
    </row>
    <row r="35" spans="2:12" ht="13.5" thickTop="1" x14ac:dyDescent="0.2">
      <c r="B35" s="12"/>
      <c r="C35" s="28"/>
      <c r="D35" s="35"/>
      <c r="E35" s="31"/>
      <c r="F35" s="31"/>
      <c r="G35" s="31"/>
      <c r="H35" s="32"/>
      <c r="I35" s="11"/>
      <c r="J35" s="30"/>
      <c r="K35" s="11"/>
      <c r="L35" s="36"/>
    </row>
    <row r="39" spans="2:12" ht="59.65" customHeight="1" x14ac:dyDescent="0.25">
      <c r="C39"/>
      <c r="D39"/>
      <c r="E39"/>
      <c r="F39"/>
      <c r="G39"/>
      <c r="H39"/>
      <c r="I39"/>
      <c r="J39"/>
      <c r="K39"/>
    </row>
  </sheetData>
  <mergeCells count="4">
    <mergeCell ref="I14:J14"/>
    <mergeCell ref="B16:L16"/>
    <mergeCell ref="B17:L17"/>
    <mergeCell ref="J21:K21"/>
  </mergeCells>
  <dataValidations count="1">
    <dataValidation type="list" allowBlank="1" showInputMessage="1" showErrorMessage="1" sqref="C19:D19" xr:uid="{4A77DDE4-1AD6-4A72-8080-4DFCF0591EFB}">
      <formula1>#REF!</formula1>
    </dataValidation>
  </dataValidations>
  <pageMargins left="0.25" right="0.25" top="0.5" bottom="0.5" header="0.3" footer="0.3"/>
  <pageSetup scale="94" fitToHeight="0" orientation="landscape" r:id="rId1"/>
  <headerFooter differentFirst="1">
    <oddFooter>&amp;L&amp;P</oddFooter>
    <firstFooter>&amp;L&amp;P&amp;C&amp;"Calibri,Bold"YOUR PROMPT PAYMENT WILL BE GREATLY APPRECIATED.
IF ANY OF THESE CLAIMS WERE BILLED IN ERROR, PLEASE EMAIL YVONNE AGUILAR  AT YVONNE.AGUILAR@BANNERHEALTH.COM, SO WE CAN BILL THE PATIENT IN A TIMELY MANNER.  THANK YOU.</first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061E8-A889-4245-B900-B1E8E91B31F6}">
  <sheetPr>
    <tabColor rgb="FFFFFF00"/>
    <pageSetUpPr fitToPage="1"/>
  </sheetPr>
  <dimension ref="A1:L35"/>
  <sheetViews>
    <sheetView topLeftCell="B1" zoomScaleNormal="100" workbookViewId="0">
      <selection activeCell="G2" sqref="G2"/>
    </sheetView>
  </sheetViews>
  <sheetFormatPr defaultColWidth="8.85546875" defaultRowHeight="12.75" x14ac:dyDescent="0.2"/>
  <cols>
    <col min="1" max="1" width="8.85546875" style="2" hidden="1" customWidth="1"/>
    <col min="2" max="2" width="14.140625" style="2" customWidth="1"/>
    <col min="3" max="3" width="14.42578125" style="2" customWidth="1"/>
    <col min="4" max="4" width="14" style="2" customWidth="1"/>
    <col min="5" max="5" width="18.42578125" style="2" customWidth="1"/>
    <col min="6" max="7" width="11.42578125" style="2" customWidth="1"/>
    <col min="8" max="8" width="8.85546875" style="2"/>
    <col min="9" max="9" width="19.7109375" style="2" customWidth="1"/>
    <col min="10" max="10" width="10" style="2" customWidth="1"/>
    <col min="11" max="11" width="11.28515625" style="2" customWidth="1"/>
    <col min="12" max="12" width="9.5703125" style="2" customWidth="1"/>
    <col min="13" max="16384" width="8.85546875" style="2"/>
  </cols>
  <sheetData>
    <row r="1" spans="2:12" x14ac:dyDescent="0.2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x14ac:dyDescent="0.2">
      <c r="B2" s="1"/>
      <c r="C2" s="1"/>
      <c r="D2" s="1"/>
      <c r="E2" s="1"/>
      <c r="F2" s="1"/>
      <c r="G2" s="37" t="s">
        <v>311</v>
      </c>
      <c r="H2" s="1"/>
      <c r="I2" s="3" t="s">
        <v>0</v>
      </c>
      <c r="J2" s="4" t="s">
        <v>269</v>
      </c>
      <c r="K2" s="1"/>
      <c r="L2" s="1"/>
    </row>
    <row r="3" spans="2:12" x14ac:dyDescent="0.2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2:12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2:12" x14ac:dyDescent="0.2"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2:12" ht="4.9000000000000004" customHeight="1" x14ac:dyDescent="0.2"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2:12" x14ac:dyDescent="0.2">
      <c r="B7" s="3" t="s">
        <v>2</v>
      </c>
      <c r="C7" s="1"/>
      <c r="D7" s="1"/>
      <c r="E7" s="1"/>
      <c r="F7" s="1"/>
      <c r="G7" s="1"/>
      <c r="H7" s="1"/>
      <c r="I7" s="5" t="s">
        <v>3</v>
      </c>
      <c r="J7" s="1"/>
      <c r="K7" s="1"/>
      <c r="L7" s="1"/>
    </row>
    <row r="8" spans="2:12" x14ac:dyDescent="0.2">
      <c r="B8" s="3" t="s">
        <v>4</v>
      </c>
      <c r="C8" s="1"/>
      <c r="D8" s="1"/>
      <c r="E8" s="1"/>
      <c r="F8" s="1"/>
      <c r="G8" s="1"/>
      <c r="H8" s="1"/>
      <c r="I8" s="3" t="s">
        <v>5</v>
      </c>
      <c r="J8" s="1"/>
      <c r="K8" s="1"/>
      <c r="L8" s="1"/>
    </row>
    <row r="9" spans="2:12" x14ac:dyDescent="0.2">
      <c r="B9" s="3" t="s">
        <v>6</v>
      </c>
      <c r="C9" s="1"/>
      <c r="D9" s="1"/>
      <c r="E9" s="1"/>
      <c r="F9" s="1"/>
      <c r="G9" s="1"/>
      <c r="H9" s="1"/>
      <c r="I9" s="3" t="s">
        <v>7</v>
      </c>
      <c r="J9" s="1"/>
      <c r="K9" s="1"/>
      <c r="L9" s="1"/>
    </row>
    <row r="10" spans="2:12" x14ac:dyDescent="0.2">
      <c r="B10" s="3" t="s">
        <v>8</v>
      </c>
      <c r="C10" s="1"/>
      <c r="D10" s="1"/>
      <c r="E10" s="1"/>
      <c r="F10" s="1"/>
      <c r="G10" s="1"/>
      <c r="H10" s="1"/>
      <c r="I10" s="6" t="s">
        <v>9</v>
      </c>
      <c r="J10" s="1"/>
      <c r="K10" s="1"/>
      <c r="L10" s="1"/>
    </row>
    <row r="11" spans="2:12" x14ac:dyDescent="0.2">
      <c r="B11" s="3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2:12" x14ac:dyDescent="0.2">
      <c r="B12" s="3" t="s">
        <v>11</v>
      </c>
      <c r="C12" s="1"/>
      <c r="D12" s="1"/>
      <c r="E12" s="1"/>
      <c r="F12" s="1"/>
      <c r="G12" s="1"/>
      <c r="H12" s="1"/>
      <c r="I12" s="6" t="s">
        <v>12</v>
      </c>
      <c r="J12" s="6" t="s">
        <v>13</v>
      </c>
      <c r="K12" s="6"/>
      <c r="L12" s="1"/>
    </row>
    <row r="13" spans="2:12" ht="4.1500000000000004" customHeight="1" thickBot="1" x14ac:dyDescent="0.25">
      <c r="B13" s="3"/>
      <c r="C13" s="1"/>
      <c r="D13" s="1"/>
      <c r="E13" s="1"/>
      <c r="F13" s="6"/>
      <c r="G13" s="6"/>
      <c r="H13" s="6"/>
      <c r="I13" s="1"/>
      <c r="J13" s="1"/>
      <c r="K13" s="1"/>
      <c r="L13" s="1"/>
    </row>
    <row r="14" spans="2:12" ht="13.5" thickBot="1" x14ac:dyDescent="0.25">
      <c r="B14" s="7"/>
      <c r="C14" s="1"/>
      <c r="D14" s="1"/>
      <c r="E14" s="1"/>
      <c r="F14" s="1"/>
      <c r="G14" s="1"/>
      <c r="H14" s="1"/>
      <c r="I14" s="44" t="s">
        <v>14</v>
      </c>
      <c r="J14" s="45"/>
      <c r="K14" s="8" t="s">
        <v>15</v>
      </c>
      <c r="L14" s="9"/>
    </row>
    <row r="15" spans="2:12" ht="6" customHeight="1" thickBot="1" x14ac:dyDescent="0.25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2:12" ht="19.7" customHeight="1" thickTop="1" x14ac:dyDescent="0.2">
      <c r="B16" s="46" t="s">
        <v>16</v>
      </c>
      <c r="C16" s="46"/>
      <c r="D16" s="46"/>
      <c r="E16" s="46"/>
      <c r="F16" s="46"/>
      <c r="G16" s="46"/>
      <c r="H16" s="46"/>
      <c r="I16" s="46"/>
      <c r="J16" s="46"/>
      <c r="K16" s="46"/>
      <c r="L16" s="46"/>
    </row>
    <row r="17" spans="1:12" ht="15.6" customHeight="1" x14ac:dyDescent="0.2">
      <c r="B17" s="47">
        <v>45838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</row>
    <row r="18" spans="1:12" x14ac:dyDescent="0.2">
      <c r="B18" s="11" t="s">
        <v>17</v>
      </c>
      <c r="C18" s="11"/>
      <c r="D18" s="11"/>
      <c r="E18" s="12"/>
      <c r="F18" s="11"/>
      <c r="G18" s="11"/>
      <c r="H18" s="11"/>
      <c r="I18" s="1"/>
      <c r="J18" s="11"/>
      <c r="K18" s="11"/>
      <c r="L18" s="11"/>
    </row>
    <row r="19" spans="1:12" x14ac:dyDescent="0.2">
      <c r="A19" s="2" t="s">
        <v>18</v>
      </c>
      <c r="B19" s="11" t="s">
        <v>19</v>
      </c>
      <c r="C19" s="14" t="s">
        <v>270</v>
      </c>
      <c r="D19" s="11"/>
      <c r="E19" s="12"/>
      <c r="F19" s="1"/>
      <c r="G19" s="1"/>
      <c r="H19" s="1"/>
      <c r="I19" s="1"/>
      <c r="J19" s="1"/>
      <c r="K19" s="1"/>
      <c r="L19" s="11"/>
    </row>
    <row r="20" spans="1:12" ht="13.5" thickBot="1" x14ac:dyDescent="0.25">
      <c r="A20" s="2">
        <v>2</v>
      </c>
      <c r="B20" s="11" t="s">
        <v>21</v>
      </c>
      <c r="C20" s="14">
        <v>924</v>
      </c>
      <c r="D20" s="11"/>
      <c r="E20" s="12"/>
      <c r="F20" s="15"/>
      <c r="G20" s="15"/>
      <c r="H20" s="16"/>
      <c r="I20" s="16"/>
      <c r="J20" s="11"/>
      <c r="K20" s="11"/>
      <c r="L20" s="11"/>
    </row>
    <row r="21" spans="1:12" ht="13.9" customHeight="1" thickBot="1" x14ac:dyDescent="0.25">
      <c r="A21" s="2" t="s">
        <v>22</v>
      </c>
      <c r="B21" s="11" t="s">
        <v>23</v>
      </c>
      <c r="C21" s="14">
        <v>4262450</v>
      </c>
      <c r="E21" s="12"/>
      <c r="F21" s="15"/>
      <c r="G21" s="15"/>
      <c r="H21" s="16"/>
      <c r="I21" s="17" t="s">
        <v>24</v>
      </c>
      <c r="J21" s="52" t="s">
        <v>25</v>
      </c>
      <c r="K21" s="49"/>
      <c r="L21" s="11"/>
    </row>
    <row r="22" spans="1:12" x14ac:dyDescent="0.2">
      <c r="A22" s="2">
        <v>0</v>
      </c>
      <c r="B22" s="11" t="s">
        <v>26</v>
      </c>
      <c r="C22" s="14" t="s">
        <v>27</v>
      </c>
      <c r="D22" s="11"/>
      <c r="E22" s="12"/>
      <c r="F22" s="12"/>
      <c r="G22" s="12"/>
      <c r="H22" s="11"/>
      <c r="I22" s="11"/>
      <c r="J22" s="11"/>
      <c r="K22" s="11"/>
      <c r="L22" s="11"/>
    </row>
    <row r="23" spans="1:12" ht="4.1500000000000004" customHeight="1" x14ac:dyDescent="0.2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</row>
    <row r="24" spans="1:12" s="20" customFormat="1" ht="22.5" x14ac:dyDescent="0.2">
      <c r="A24" s="18" t="s">
        <v>28</v>
      </c>
      <c r="B24" s="19" t="s">
        <v>29</v>
      </c>
      <c r="C24" s="19" t="s">
        <v>30</v>
      </c>
      <c r="D24" s="19" t="s">
        <v>31</v>
      </c>
      <c r="E24" s="19" t="s">
        <v>32</v>
      </c>
      <c r="F24" s="19" t="s">
        <v>33</v>
      </c>
      <c r="G24" s="19" t="s">
        <v>34</v>
      </c>
      <c r="H24" s="19" t="s">
        <v>35</v>
      </c>
      <c r="I24" s="19" t="s">
        <v>36</v>
      </c>
      <c r="J24" s="19" t="s">
        <v>37</v>
      </c>
      <c r="K24" s="19" t="s">
        <v>38</v>
      </c>
      <c r="L24" s="19" t="s">
        <v>39</v>
      </c>
    </row>
    <row r="25" spans="1:12" x14ac:dyDescent="0.2">
      <c r="A25" s="21">
        <v>106</v>
      </c>
      <c r="B25" s="22">
        <v>483</v>
      </c>
      <c r="C25" s="23" t="s">
        <v>271</v>
      </c>
      <c r="D25" s="24">
        <v>67904581</v>
      </c>
      <c r="E25" s="25" t="s">
        <v>272</v>
      </c>
      <c r="F25" s="26">
        <v>45818</v>
      </c>
      <c r="G25" s="25">
        <v>3062650</v>
      </c>
      <c r="H25" s="23" t="s">
        <v>138</v>
      </c>
      <c r="I25" s="25" t="s">
        <v>139</v>
      </c>
      <c r="J25" s="27">
        <v>45</v>
      </c>
      <c r="K25" s="27">
        <v>35.93</v>
      </c>
      <c r="L25" s="27">
        <v>9.07</v>
      </c>
    </row>
    <row r="26" spans="1:12" x14ac:dyDescent="0.2">
      <c r="A26" s="21">
        <v>107</v>
      </c>
      <c r="B26" s="22">
        <v>483</v>
      </c>
      <c r="C26" s="23" t="s">
        <v>271</v>
      </c>
      <c r="D26" s="24">
        <v>67904581</v>
      </c>
      <c r="E26" s="25" t="s">
        <v>272</v>
      </c>
      <c r="F26" s="26">
        <v>45818</v>
      </c>
      <c r="G26" s="25">
        <v>3074176</v>
      </c>
      <c r="H26" s="23" t="s">
        <v>44</v>
      </c>
      <c r="I26" s="25" t="s">
        <v>45</v>
      </c>
      <c r="J26" s="27">
        <v>93</v>
      </c>
      <c r="K26" s="27">
        <v>83.35</v>
      </c>
      <c r="L26" s="27">
        <v>9.65</v>
      </c>
    </row>
    <row r="27" spans="1:12" x14ac:dyDescent="0.2">
      <c r="B27" s="12"/>
      <c r="C27" s="28"/>
      <c r="D27" s="29"/>
      <c r="E27" s="12"/>
      <c r="F27" s="12"/>
      <c r="G27" s="12"/>
      <c r="H27" s="30"/>
      <c r="I27" s="30"/>
      <c r="J27" s="30"/>
      <c r="K27" s="11"/>
      <c r="L27" s="11"/>
    </row>
    <row r="28" spans="1:12" x14ac:dyDescent="0.2">
      <c r="B28" s="12"/>
      <c r="C28" s="28"/>
      <c r="D28" s="29"/>
      <c r="E28" s="15"/>
      <c r="F28" s="15"/>
      <c r="G28" s="15"/>
      <c r="H28" s="15"/>
      <c r="I28" s="30"/>
      <c r="J28" s="30"/>
      <c r="K28" s="11"/>
      <c r="L28" s="11"/>
    </row>
    <row r="29" spans="1:12" x14ac:dyDescent="0.2">
      <c r="B29" s="12"/>
      <c r="C29" s="28"/>
      <c r="D29" s="29"/>
      <c r="E29" s="12"/>
      <c r="F29" s="11"/>
      <c r="G29" s="11"/>
      <c r="H29" s="11"/>
      <c r="I29" s="30"/>
      <c r="J29" s="30"/>
      <c r="K29" s="11"/>
      <c r="L29" s="11"/>
    </row>
    <row r="30" spans="1:12" ht="13.5" thickBot="1" x14ac:dyDescent="0.25">
      <c r="B30" s="12"/>
      <c r="C30" s="28"/>
      <c r="D30" s="11" t="s">
        <v>62</v>
      </c>
      <c r="E30" s="31"/>
      <c r="F30" s="31"/>
      <c r="G30" s="31"/>
      <c r="H30" s="32"/>
      <c r="I30" s="11"/>
      <c r="J30" s="30"/>
      <c r="K30" s="11"/>
      <c r="L30" s="33">
        <v>18.72</v>
      </c>
    </row>
    <row r="31" spans="1:12" ht="13.5" thickTop="1" x14ac:dyDescent="0.2">
      <c r="B31" s="12"/>
      <c r="C31" s="28"/>
      <c r="D31" s="35"/>
      <c r="E31" s="31"/>
      <c r="F31" s="31"/>
      <c r="G31" s="31"/>
      <c r="H31" s="32"/>
      <c r="I31" s="11"/>
      <c r="J31" s="30"/>
      <c r="K31" s="11"/>
      <c r="L31" s="36"/>
    </row>
    <row r="35" spans="3:11" ht="59.65" customHeight="1" x14ac:dyDescent="0.25">
      <c r="C35"/>
      <c r="D35"/>
      <c r="E35"/>
      <c r="F35"/>
      <c r="G35"/>
      <c r="H35"/>
      <c r="I35"/>
      <c r="J35"/>
      <c r="K35"/>
    </row>
  </sheetData>
  <mergeCells count="4">
    <mergeCell ref="I14:J14"/>
    <mergeCell ref="B16:L16"/>
    <mergeCell ref="B17:L17"/>
    <mergeCell ref="J21:K21"/>
  </mergeCells>
  <dataValidations count="1">
    <dataValidation type="list" allowBlank="1" showInputMessage="1" showErrorMessage="1" sqref="C19:D19" xr:uid="{AD9F41EB-809A-440A-988C-CE1467B421C0}">
      <formula1>#REF!</formula1>
    </dataValidation>
  </dataValidations>
  <pageMargins left="0.25" right="0.25" top="0.5" bottom="0.5" header="0.3" footer="0.3"/>
  <pageSetup scale="94" fitToHeight="0" orientation="landscape" r:id="rId1"/>
  <headerFooter differentFirst="1">
    <oddFooter>&amp;L&amp;P</oddFooter>
    <firstFooter>&amp;L&amp;P&amp;C&amp;"Calibri,Bold"YOUR PROMPT PAYMENT WILL BE GREATLY APPRECIATED.
IF ANY OF THESE CLAIMS WERE BILLED IN ERROR, PLEASE EMAIL YVONNE AGUILAR  AT YVONNE.AGUILAR@BANNERHEALTH.COM, SO WE CAN BILL THE PATIENT IN A TIMELY MANNER.  THANK YOU.</firstFoot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24EF9-E27F-43A3-8A19-C05B436618DF}">
  <sheetPr>
    <tabColor rgb="FFFFFF00"/>
    <pageSetUpPr fitToPage="1"/>
  </sheetPr>
  <dimension ref="A1:O57"/>
  <sheetViews>
    <sheetView topLeftCell="B1" zoomScaleNormal="100" workbookViewId="0">
      <selection activeCell="G2" sqref="G2"/>
    </sheetView>
  </sheetViews>
  <sheetFormatPr defaultColWidth="8.85546875" defaultRowHeight="12.75" x14ac:dyDescent="0.2"/>
  <cols>
    <col min="1" max="1" width="8.85546875" style="2" hidden="1" customWidth="1"/>
    <col min="2" max="2" width="14.140625" style="2" customWidth="1"/>
    <col min="3" max="3" width="12.5703125" style="2" customWidth="1"/>
    <col min="4" max="4" width="14" style="2" customWidth="1"/>
    <col min="5" max="5" width="18.42578125" style="2" customWidth="1"/>
    <col min="6" max="7" width="11.42578125" style="2" customWidth="1"/>
    <col min="8" max="8" width="8.85546875" style="2"/>
    <col min="9" max="9" width="19.7109375" style="2" customWidth="1"/>
    <col min="10" max="10" width="9.85546875" style="2" customWidth="1"/>
    <col min="11" max="11" width="11.28515625" style="2" customWidth="1"/>
    <col min="12" max="12" width="9.5703125" style="2" customWidth="1"/>
    <col min="13" max="16384" width="8.85546875" style="2"/>
  </cols>
  <sheetData>
    <row r="1" spans="2:12" x14ac:dyDescent="0.2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x14ac:dyDescent="0.2">
      <c r="B2" s="1"/>
      <c r="C2" s="1"/>
      <c r="D2" s="1"/>
      <c r="E2" s="1"/>
      <c r="F2" s="1"/>
      <c r="G2" s="37" t="s">
        <v>311</v>
      </c>
      <c r="H2" s="1"/>
      <c r="I2" s="3" t="s">
        <v>0</v>
      </c>
      <c r="J2" s="4" t="s">
        <v>273</v>
      </c>
      <c r="K2" s="1"/>
      <c r="L2" s="1"/>
    </row>
    <row r="3" spans="2:12" x14ac:dyDescent="0.2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2:12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2:12" x14ac:dyDescent="0.2"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2:12" ht="4.9000000000000004" customHeight="1" x14ac:dyDescent="0.2"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2:12" x14ac:dyDescent="0.2">
      <c r="B7" s="3" t="s">
        <v>2</v>
      </c>
      <c r="C7" s="1"/>
      <c r="D7" s="1"/>
      <c r="E7" s="1"/>
      <c r="F7" s="1"/>
      <c r="G7" s="1"/>
      <c r="H7" s="1"/>
      <c r="I7" s="5" t="s">
        <v>3</v>
      </c>
      <c r="J7" s="1"/>
      <c r="K7" s="1"/>
      <c r="L7" s="1"/>
    </row>
    <row r="8" spans="2:12" x14ac:dyDescent="0.2">
      <c r="B8" s="3" t="s">
        <v>4</v>
      </c>
      <c r="C8" s="1"/>
      <c r="D8" s="1"/>
      <c r="E8" s="1"/>
      <c r="F8" s="1"/>
      <c r="G8" s="1"/>
      <c r="H8" s="1"/>
      <c r="I8" s="3" t="s">
        <v>5</v>
      </c>
      <c r="J8" s="1"/>
      <c r="K8" s="1"/>
      <c r="L8" s="1"/>
    </row>
    <row r="9" spans="2:12" x14ac:dyDescent="0.2">
      <c r="B9" s="3" t="s">
        <v>6</v>
      </c>
      <c r="C9" s="1"/>
      <c r="D9" s="1"/>
      <c r="E9" s="1"/>
      <c r="F9" s="1"/>
      <c r="G9" s="1"/>
      <c r="H9" s="1"/>
      <c r="I9" s="3" t="s">
        <v>7</v>
      </c>
      <c r="J9" s="1"/>
      <c r="K9" s="1"/>
      <c r="L9" s="1"/>
    </row>
    <row r="10" spans="2:12" x14ac:dyDescent="0.2">
      <c r="B10" s="3" t="s">
        <v>8</v>
      </c>
      <c r="C10" s="1"/>
      <c r="D10" s="1"/>
      <c r="E10" s="1"/>
      <c r="F10" s="1"/>
      <c r="G10" s="1"/>
      <c r="H10" s="1"/>
      <c r="I10" s="6" t="s">
        <v>9</v>
      </c>
      <c r="J10" s="1"/>
      <c r="K10" s="1"/>
      <c r="L10" s="1"/>
    </row>
    <row r="11" spans="2:12" x14ac:dyDescent="0.2">
      <c r="B11" s="3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2:12" x14ac:dyDescent="0.2">
      <c r="B12" s="3" t="s">
        <v>11</v>
      </c>
      <c r="C12" s="1"/>
      <c r="D12" s="1"/>
      <c r="E12" s="1"/>
      <c r="F12" s="1"/>
      <c r="G12" s="1"/>
      <c r="H12" s="1"/>
      <c r="I12" s="6" t="s">
        <v>12</v>
      </c>
      <c r="J12" s="6" t="s">
        <v>13</v>
      </c>
      <c r="K12" s="6"/>
      <c r="L12" s="1"/>
    </row>
    <row r="13" spans="2:12" ht="4.1500000000000004" customHeight="1" thickBot="1" x14ac:dyDescent="0.25">
      <c r="B13" s="3"/>
      <c r="C13" s="1"/>
      <c r="D13" s="1"/>
      <c r="E13" s="1"/>
      <c r="F13" s="6"/>
      <c r="G13" s="6"/>
      <c r="H13" s="6"/>
      <c r="I13" s="1"/>
      <c r="J13" s="1"/>
      <c r="K13" s="1"/>
      <c r="L13" s="1"/>
    </row>
    <row r="14" spans="2:12" ht="13.5" thickBot="1" x14ac:dyDescent="0.25">
      <c r="B14" s="7"/>
      <c r="C14" s="1"/>
      <c r="D14" s="1"/>
      <c r="E14" s="1"/>
      <c r="F14" s="1"/>
      <c r="G14" s="1"/>
      <c r="H14" s="1"/>
      <c r="I14" s="44" t="s">
        <v>14</v>
      </c>
      <c r="J14" s="45"/>
      <c r="K14" s="8" t="s">
        <v>15</v>
      </c>
      <c r="L14" s="9"/>
    </row>
    <row r="15" spans="2:12" ht="6" customHeight="1" thickBot="1" x14ac:dyDescent="0.25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2:12" ht="19.7" customHeight="1" thickTop="1" x14ac:dyDescent="0.2">
      <c r="B16" s="46" t="s">
        <v>16</v>
      </c>
      <c r="C16" s="46"/>
      <c r="D16" s="46"/>
      <c r="E16" s="46"/>
      <c r="F16" s="46"/>
      <c r="G16" s="46"/>
      <c r="H16" s="46"/>
      <c r="I16" s="46"/>
      <c r="J16" s="46"/>
      <c r="K16" s="46"/>
      <c r="L16" s="46"/>
    </row>
    <row r="17" spans="1:15" ht="15.6" customHeight="1" x14ac:dyDescent="0.2">
      <c r="B17" s="47">
        <v>45838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</row>
    <row r="18" spans="1:15" x14ac:dyDescent="0.2">
      <c r="B18" s="11" t="s">
        <v>17</v>
      </c>
      <c r="C18" s="11"/>
      <c r="D18" s="11"/>
      <c r="E18" s="12"/>
      <c r="F18" s="11"/>
      <c r="G18" s="11"/>
      <c r="H18" s="11"/>
      <c r="I18" s="1"/>
      <c r="J18" s="11"/>
      <c r="K18" s="11"/>
      <c r="L18" s="11"/>
    </row>
    <row r="19" spans="1:15" x14ac:dyDescent="0.2">
      <c r="A19" s="2" t="s">
        <v>18</v>
      </c>
      <c r="B19" s="11" t="s">
        <v>19</v>
      </c>
      <c r="C19" s="14" t="s">
        <v>274</v>
      </c>
      <c r="D19" s="11"/>
      <c r="E19" s="12"/>
      <c r="F19" s="1"/>
      <c r="G19" s="1"/>
      <c r="H19" s="1"/>
      <c r="I19" s="1"/>
      <c r="J19" s="1"/>
      <c r="K19" s="1"/>
      <c r="L19" s="11"/>
    </row>
    <row r="20" spans="1:15" ht="13.5" thickBot="1" x14ac:dyDescent="0.25">
      <c r="A20" s="2">
        <v>24</v>
      </c>
      <c r="B20" s="11" t="s">
        <v>21</v>
      </c>
      <c r="C20" s="14">
        <v>1160</v>
      </c>
      <c r="D20" s="11"/>
      <c r="E20" s="12"/>
      <c r="F20" s="15"/>
      <c r="G20" s="15"/>
      <c r="H20" s="16"/>
      <c r="I20" s="16"/>
      <c r="J20" s="11"/>
      <c r="K20" s="11"/>
      <c r="L20" s="11"/>
    </row>
    <row r="21" spans="1:15" ht="13.9" customHeight="1" thickBot="1" x14ac:dyDescent="0.25">
      <c r="A21" s="2" t="s">
        <v>22</v>
      </c>
      <c r="B21" s="11" t="s">
        <v>23</v>
      </c>
      <c r="C21" s="14">
        <v>4263410</v>
      </c>
      <c r="E21" s="12"/>
      <c r="F21" s="15"/>
      <c r="G21" s="15"/>
      <c r="H21" s="16"/>
      <c r="I21" s="17" t="s">
        <v>24</v>
      </c>
      <c r="J21" s="52" t="s">
        <v>25</v>
      </c>
      <c r="K21" s="49"/>
      <c r="L21" s="11"/>
    </row>
    <row r="22" spans="1:15" x14ac:dyDescent="0.2">
      <c r="A22" s="2">
        <v>0</v>
      </c>
      <c r="B22" s="11" t="s">
        <v>26</v>
      </c>
      <c r="C22" s="14" t="s">
        <v>27</v>
      </c>
      <c r="D22" s="11"/>
      <c r="E22" s="12"/>
      <c r="F22" s="12"/>
      <c r="G22" s="12"/>
      <c r="H22" s="11"/>
      <c r="I22" s="11"/>
      <c r="J22" s="11"/>
      <c r="K22" s="11"/>
      <c r="L22" s="11"/>
    </row>
    <row r="23" spans="1:15" ht="4.1500000000000004" customHeight="1" x14ac:dyDescent="0.2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</row>
    <row r="24" spans="1:15" s="20" customFormat="1" ht="22.5" x14ac:dyDescent="0.2">
      <c r="A24" s="18" t="s">
        <v>28</v>
      </c>
      <c r="B24" s="19" t="s">
        <v>29</v>
      </c>
      <c r="C24" s="19" t="s">
        <v>30</v>
      </c>
      <c r="D24" s="19" t="s">
        <v>31</v>
      </c>
      <c r="E24" s="19" t="s">
        <v>32</v>
      </c>
      <c r="F24" s="19" t="s">
        <v>33</v>
      </c>
      <c r="G24" s="19" t="s">
        <v>34</v>
      </c>
      <c r="H24" s="19" t="s">
        <v>35</v>
      </c>
      <c r="I24" s="19" t="s">
        <v>36</v>
      </c>
      <c r="J24" s="19" t="s">
        <v>37</v>
      </c>
      <c r="K24" s="19" t="s">
        <v>38</v>
      </c>
      <c r="L24" s="19" t="s">
        <v>39</v>
      </c>
    </row>
    <row r="25" spans="1:15" ht="22.5" x14ac:dyDescent="0.2">
      <c r="A25" s="21">
        <v>108</v>
      </c>
      <c r="B25" s="22">
        <v>483</v>
      </c>
      <c r="C25" s="23" t="s">
        <v>275</v>
      </c>
      <c r="D25" s="24">
        <v>67649152</v>
      </c>
      <c r="E25" s="25" t="s">
        <v>276</v>
      </c>
      <c r="F25" s="26">
        <v>45797</v>
      </c>
      <c r="G25" s="25">
        <v>3076254</v>
      </c>
      <c r="H25" s="23" t="s">
        <v>46</v>
      </c>
      <c r="I25" s="25" t="s">
        <v>47</v>
      </c>
      <c r="J25" s="27">
        <v>93</v>
      </c>
      <c r="K25" s="27">
        <v>80.37</v>
      </c>
      <c r="L25" s="27">
        <v>12.63</v>
      </c>
      <c r="N25" s="34"/>
      <c r="O25" s="34"/>
    </row>
    <row r="26" spans="1:15" ht="22.5" x14ac:dyDescent="0.2">
      <c r="A26" s="21">
        <v>109</v>
      </c>
      <c r="B26" s="22">
        <v>483</v>
      </c>
      <c r="C26" s="23" t="s">
        <v>275</v>
      </c>
      <c r="D26" s="24">
        <v>67649152</v>
      </c>
      <c r="E26" s="25" t="s">
        <v>276</v>
      </c>
      <c r="F26" s="26">
        <v>45818</v>
      </c>
      <c r="G26" s="25">
        <v>3076254</v>
      </c>
      <c r="H26" s="23" t="s">
        <v>46</v>
      </c>
      <c r="I26" s="25" t="s">
        <v>47</v>
      </c>
      <c r="J26" s="27">
        <v>93</v>
      </c>
      <c r="K26" s="27">
        <v>80.37</v>
      </c>
      <c r="L26" s="27">
        <v>12.63</v>
      </c>
      <c r="N26" s="34"/>
      <c r="O26" s="34"/>
    </row>
    <row r="27" spans="1:15" ht="33.75" x14ac:dyDescent="0.2">
      <c r="A27" s="21">
        <v>110</v>
      </c>
      <c r="B27" s="22">
        <v>483</v>
      </c>
      <c r="C27" s="23" t="s">
        <v>275</v>
      </c>
      <c r="D27" s="24">
        <v>67649152</v>
      </c>
      <c r="E27" s="25" t="s">
        <v>276</v>
      </c>
      <c r="F27" s="26">
        <v>45797</v>
      </c>
      <c r="G27" s="25">
        <v>3076437</v>
      </c>
      <c r="H27" s="23" t="s">
        <v>245</v>
      </c>
      <c r="I27" s="25" t="s">
        <v>246</v>
      </c>
      <c r="J27" s="27">
        <v>79</v>
      </c>
      <c r="K27" s="27">
        <v>59.15</v>
      </c>
      <c r="L27" s="27">
        <v>19.850000000000001</v>
      </c>
      <c r="N27" s="34"/>
      <c r="O27" s="34"/>
    </row>
    <row r="28" spans="1:15" ht="33.75" x14ac:dyDescent="0.2">
      <c r="A28" s="21">
        <v>111</v>
      </c>
      <c r="B28" s="22">
        <v>483</v>
      </c>
      <c r="C28" s="23" t="s">
        <v>275</v>
      </c>
      <c r="D28" s="24">
        <v>67649152</v>
      </c>
      <c r="E28" s="25" t="s">
        <v>276</v>
      </c>
      <c r="F28" s="26">
        <v>45818</v>
      </c>
      <c r="G28" s="25">
        <v>3076437</v>
      </c>
      <c r="H28" s="23" t="s">
        <v>245</v>
      </c>
      <c r="I28" s="25" t="s">
        <v>246</v>
      </c>
      <c r="J28" s="27">
        <v>79</v>
      </c>
      <c r="K28" s="27">
        <v>59.15</v>
      </c>
      <c r="L28" s="27">
        <v>19.850000000000001</v>
      </c>
      <c r="N28" s="34"/>
      <c r="O28" s="34"/>
    </row>
    <row r="29" spans="1:15" ht="33.75" x14ac:dyDescent="0.2">
      <c r="A29" s="21">
        <v>112</v>
      </c>
      <c r="B29" s="22">
        <v>483</v>
      </c>
      <c r="C29" s="23" t="s">
        <v>275</v>
      </c>
      <c r="D29" s="24">
        <v>67649152</v>
      </c>
      <c r="E29" s="25" t="s">
        <v>276</v>
      </c>
      <c r="F29" s="26">
        <v>45797</v>
      </c>
      <c r="G29" s="25">
        <v>3076486</v>
      </c>
      <c r="H29" s="23" t="s">
        <v>48</v>
      </c>
      <c r="I29" s="25" t="s">
        <v>49</v>
      </c>
      <c r="J29" s="27">
        <v>124</v>
      </c>
      <c r="K29" s="27">
        <v>100.48</v>
      </c>
      <c r="L29" s="27">
        <v>23.52</v>
      </c>
      <c r="N29" s="34"/>
      <c r="O29" s="34"/>
    </row>
    <row r="30" spans="1:15" ht="33.75" x14ac:dyDescent="0.2">
      <c r="A30" s="21">
        <v>113</v>
      </c>
      <c r="B30" s="22">
        <v>483</v>
      </c>
      <c r="C30" s="23" t="s">
        <v>275</v>
      </c>
      <c r="D30" s="24">
        <v>67649152</v>
      </c>
      <c r="E30" s="25" t="s">
        <v>276</v>
      </c>
      <c r="F30" s="26">
        <v>45818</v>
      </c>
      <c r="G30" s="25">
        <v>3076486</v>
      </c>
      <c r="H30" s="23" t="s">
        <v>48</v>
      </c>
      <c r="I30" s="25" t="s">
        <v>49</v>
      </c>
      <c r="J30" s="27">
        <v>124</v>
      </c>
      <c r="K30" s="27">
        <v>100.48</v>
      </c>
      <c r="L30" s="27">
        <v>23.52</v>
      </c>
      <c r="N30" s="34"/>
      <c r="O30" s="34"/>
    </row>
    <row r="31" spans="1:15" x14ac:dyDescent="0.2">
      <c r="A31" s="21">
        <v>114</v>
      </c>
      <c r="B31" s="22">
        <v>483</v>
      </c>
      <c r="C31" s="23" t="s">
        <v>275</v>
      </c>
      <c r="D31" s="24">
        <v>67649152</v>
      </c>
      <c r="E31" s="25" t="s">
        <v>276</v>
      </c>
      <c r="F31" s="26">
        <v>45797</v>
      </c>
      <c r="G31" s="25">
        <v>3076544</v>
      </c>
      <c r="H31" s="23" t="s">
        <v>97</v>
      </c>
      <c r="I31" s="25" t="s">
        <v>98</v>
      </c>
      <c r="J31" s="27">
        <v>136</v>
      </c>
      <c r="K31" s="27">
        <v>129.66999999999999</v>
      </c>
      <c r="L31" s="27">
        <v>6.33</v>
      </c>
      <c r="N31" s="34"/>
      <c r="O31" s="34"/>
    </row>
    <row r="32" spans="1:15" x14ac:dyDescent="0.2">
      <c r="A32" s="21">
        <v>115</v>
      </c>
      <c r="B32" s="22">
        <v>483</v>
      </c>
      <c r="C32" s="23" t="s">
        <v>275</v>
      </c>
      <c r="D32" s="24">
        <v>67649152</v>
      </c>
      <c r="E32" s="25" t="s">
        <v>276</v>
      </c>
      <c r="F32" s="26">
        <v>45818</v>
      </c>
      <c r="G32" s="25">
        <v>3076544</v>
      </c>
      <c r="H32" s="23" t="s">
        <v>97</v>
      </c>
      <c r="I32" s="25" t="s">
        <v>98</v>
      </c>
      <c r="J32" s="27">
        <v>136</v>
      </c>
      <c r="K32" s="27">
        <v>129.66999999999999</v>
      </c>
      <c r="L32" s="27">
        <v>6.33</v>
      </c>
      <c r="N32" s="34"/>
      <c r="O32" s="34"/>
    </row>
    <row r="33" spans="1:15" ht="22.5" x14ac:dyDescent="0.2">
      <c r="A33" s="21">
        <v>116</v>
      </c>
      <c r="B33" s="22">
        <v>483</v>
      </c>
      <c r="C33" s="23" t="s">
        <v>277</v>
      </c>
      <c r="D33" s="24">
        <v>67816710</v>
      </c>
      <c r="E33" s="25" t="s">
        <v>278</v>
      </c>
      <c r="F33" s="26">
        <v>45819</v>
      </c>
      <c r="G33" s="25">
        <v>7301021</v>
      </c>
      <c r="H33" s="23" t="s">
        <v>56</v>
      </c>
      <c r="I33" s="25" t="s">
        <v>57</v>
      </c>
      <c r="J33" s="27">
        <v>189</v>
      </c>
      <c r="K33" s="27">
        <v>124.97</v>
      </c>
      <c r="L33" s="27">
        <v>64.03</v>
      </c>
      <c r="N33" s="34"/>
      <c r="O33" s="34"/>
    </row>
    <row r="34" spans="1:15" ht="22.5" x14ac:dyDescent="0.2">
      <c r="A34" s="21">
        <v>117</v>
      </c>
      <c r="B34" s="22">
        <v>483</v>
      </c>
      <c r="C34" s="23" t="s">
        <v>277</v>
      </c>
      <c r="D34" s="24">
        <v>67816710</v>
      </c>
      <c r="E34" s="25" t="s">
        <v>278</v>
      </c>
      <c r="F34" s="26">
        <v>45819</v>
      </c>
      <c r="G34" s="25">
        <v>7301021</v>
      </c>
      <c r="H34" s="23" t="s">
        <v>56</v>
      </c>
      <c r="I34" s="25" t="s">
        <v>57</v>
      </c>
      <c r="J34" s="27">
        <v>189</v>
      </c>
      <c r="K34" s="27">
        <v>124.97</v>
      </c>
      <c r="L34" s="27">
        <v>64.03</v>
      </c>
      <c r="N34" s="34"/>
      <c r="O34" s="34"/>
    </row>
    <row r="35" spans="1:15" ht="22.5" x14ac:dyDescent="0.2">
      <c r="A35" s="21">
        <v>118</v>
      </c>
      <c r="B35" s="22">
        <v>483</v>
      </c>
      <c r="C35" s="23" t="s">
        <v>279</v>
      </c>
      <c r="D35" s="24">
        <v>67869271</v>
      </c>
      <c r="E35" s="25" t="s">
        <v>280</v>
      </c>
      <c r="F35" s="26">
        <v>45838</v>
      </c>
      <c r="G35" s="25">
        <v>2772341</v>
      </c>
      <c r="H35" s="23" t="s">
        <v>185</v>
      </c>
      <c r="I35" s="25" t="s">
        <v>186</v>
      </c>
      <c r="J35" s="27">
        <v>313</v>
      </c>
      <c r="K35" s="27">
        <v>206.95999999999998</v>
      </c>
      <c r="L35" s="27">
        <v>106.04</v>
      </c>
      <c r="N35" s="34"/>
      <c r="O35" s="34"/>
    </row>
    <row r="36" spans="1:15" ht="22.5" x14ac:dyDescent="0.2">
      <c r="A36" s="21">
        <v>119</v>
      </c>
      <c r="B36" s="22">
        <v>483</v>
      </c>
      <c r="C36" s="23" t="s">
        <v>279</v>
      </c>
      <c r="D36" s="24">
        <v>67869271</v>
      </c>
      <c r="E36" s="25" t="s">
        <v>280</v>
      </c>
      <c r="F36" s="26">
        <v>45838</v>
      </c>
      <c r="G36" s="25">
        <v>2773349</v>
      </c>
      <c r="H36" s="23" t="s">
        <v>185</v>
      </c>
      <c r="I36" s="25" t="s">
        <v>187</v>
      </c>
      <c r="J36" s="27">
        <v>313</v>
      </c>
      <c r="K36" s="27">
        <v>206.95999999999998</v>
      </c>
      <c r="L36" s="27">
        <v>106.04</v>
      </c>
      <c r="N36" s="34"/>
      <c r="O36" s="34"/>
    </row>
    <row r="37" spans="1:15" ht="22.5" x14ac:dyDescent="0.2">
      <c r="A37" s="21">
        <v>120</v>
      </c>
      <c r="B37" s="22">
        <v>483</v>
      </c>
      <c r="C37" s="23" t="s">
        <v>279</v>
      </c>
      <c r="D37" s="24">
        <v>67869271</v>
      </c>
      <c r="E37" s="25" t="s">
        <v>280</v>
      </c>
      <c r="F37" s="26">
        <v>45838</v>
      </c>
      <c r="G37" s="25">
        <v>2773406</v>
      </c>
      <c r="H37" s="23" t="s">
        <v>185</v>
      </c>
      <c r="I37" s="25" t="s">
        <v>188</v>
      </c>
      <c r="J37" s="27">
        <v>166</v>
      </c>
      <c r="K37" s="27">
        <v>109.75999999999999</v>
      </c>
      <c r="L37" s="27">
        <v>56.24</v>
      </c>
      <c r="N37" s="34"/>
      <c r="O37" s="34"/>
    </row>
    <row r="38" spans="1:15" ht="22.5" x14ac:dyDescent="0.2">
      <c r="A38" s="21">
        <v>121</v>
      </c>
      <c r="B38" s="22">
        <v>483</v>
      </c>
      <c r="C38" s="23" t="s">
        <v>279</v>
      </c>
      <c r="D38" s="24">
        <v>67869271</v>
      </c>
      <c r="E38" s="25" t="s">
        <v>280</v>
      </c>
      <c r="F38" s="26">
        <v>45838</v>
      </c>
      <c r="G38" s="25">
        <v>3086303</v>
      </c>
      <c r="H38" s="23" t="s">
        <v>52</v>
      </c>
      <c r="I38" s="25" t="s">
        <v>53</v>
      </c>
      <c r="J38" s="27">
        <v>87</v>
      </c>
      <c r="K38" s="27">
        <v>80.989999999999995</v>
      </c>
      <c r="L38" s="27">
        <v>6.01</v>
      </c>
      <c r="N38" s="34"/>
      <c r="O38" s="34"/>
    </row>
    <row r="39" spans="1:15" ht="22.5" x14ac:dyDescent="0.2">
      <c r="A39" s="21">
        <v>122</v>
      </c>
      <c r="B39" s="22">
        <v>483</v>
      </c>
      <c r="C39" s="23" t="s">
        <v>279</v>
      </c>
      <c r="D39" s="24">
        <v>67869271</v>
      </c>
      <c r="E39" s="25" t="s">
        <v>280</v>
      </c>
      <c r="F39" s="26">
        <v>45838</v>
      </c>
      <c r="G39" s="25">
        <v>3103421</v>
      </c>
      <c r="H39" s="23" t="s">
        <v>189</v>
      </c>
      <c r="I39" s="25" t="s">
        <v>190</v>
      </c>
      <c r="J39" s="27">
        <v>639</v>
      </c>
      <c r="K39" s="27">
        <v>135.38999999999999</v>
      </c>
      <c r="L39" s="27">
        <v>503.61</v>
      </c>
      <c r="N39" s="34"/>
      <c r="O39" s="34"/>
    </row>
    <row r="40" spans="1:15" ht="22.5" x14ac:dyDescent="0.2">
      <c r="A40" s="21">
        <v>123</v>
      </c>
      <c r="B40" s="22">
        <v>483</v>
      </c>
      <c r="C40" s="23" t="s">
        <v>279</v>
      </c>
      <c r="D40" s="24">
        <v>67869271</v>
      </c>
      <c r="E40" s="25" t="s">
        <v>280</v>
      </c>
      <c r="F40" s="26">
        <v>45838</v>
      </c>
      <c r="G40" s="25">
        <v>3504149</v>
      </c>
      <c r="H40" s="23" t="s">
        <v>193</v>
      </c>
      <c r="I40" s="25" t="s">
        <v>194</v>
      </c>
      <c r="J40" s="27">
        <v>485</v>
      </c>
      <c r="K40" s="27">
        <v>320.68</v>
      </c>
      <c r="L40" s="27">
        <v>164.32</v>
      </c>
      <c r="N40" s="34"/>
      <c r="O40" s="34"/>
    </row>
    <row r="41" spans="1:15" ht="22.5" x14ac:dyDescent="0.2">
      <c r="A41" s="21">
        <v>124</v>
      </c>
      <c r="B41" s="22">
        <v>483</v>
      </c>
      <c r="C41" s="23" t="s">
        <v>279</v>
      </c>
      <c r="D41" s="24">
        <v>67869271</v>
      </c>
      <c r="E41" s="25" t="s">
        <v>280</v>
      </c>
      <c r="F41" s="26">
        <v>45838</v>
      </c>
      <c r="G41" s="25">
        <v>3504156</v>
      </c>
      <c r="H41" s="23" t="s">
        <v>195</v>
      </c>
      <c r="I41" s="25" t="s">
        <v>196</v>
      </c>
      <c r="J41" s="27">
        <v>325</v>
      </c>
      <c r="K41" s="27">
        <v>214.89</v>
      </c>
      <c r="L41" s="27">
        <v>110.11</v>
      </c>
      <c r="N41" s="34"/>
      <c r="O41" s="34"/>
    </row>
    <row r="42" spans="1:15" ht="22.5" x14ac:dyDescent="0.2">
      <c r="A42" s="21">
        <v>125</v>
      </c>
      <c r="B42" s="22">
        <v>483</v>
      </c>
      <c r="C42" s="23" t="s">
        <v>279</v>
      </c>
      <c r="D42" s="24">
        <v>67869271</v>
      </c>
      <c r="E42" s="25" t="s">
        <v>280</v>
      </c>
      <c r="F42" s="26">
        <v>45838</v>
      </c>
      <c r="G42" s="25">
        <v>3522026</v>
      </c>
      <c r="H42" s="23" t="s">
        <v>281</v>
      </c>
      <c r="I42" s="25" t="s">
        <v>282</v>
      </c>
      <c r="J42" s="27">
        <v>2325</v>
      </c>
      <c r="K42" s="27">
        <v>1537.29</v>
      </c>
      <c r="L42" s="27">
        <v>787.71</v>
      </c>
      <c r="N42" s="34"/>
      <c r="O42" s="34"/>
    </row>
    <row r="43" spans="1:15" ht="22.5" x14ac:dyDescent="0.2">
      <c r="A43" s="21">
        <v>126</v>
      </c>
      <c r="B43" s="22">
        <v>483</v>
      </c>
      <c r="C43" s="23" t="s">
        <v>279</v>
      </c>
      <c r="D43" s="24">
        <v>67869271</v>
      </c>
      <c r="E43" s="25" t="s">
        <v>280</v>
      </c>
      <c r="F43" s="26">
        <v>45838</v>
      </c>
      <c r="G43" s="25">
        <v>3522216</v>
      </c>
      <c r="H43" s="23" t="s">
        <v>199</v>
      </c>
      <c r="I43" s="25" t="s">
        <v>200</v>
      </c>
      <c r="J43" s="27">
        <v>1266</v>
      </c>
      <c r="K43" s="27">
        <v>837.07999999999993</v>
      </c>
      <c r="L43" s="27">
        <v>428.92</v>
      </c>
      <c r="N43" s="34"/>
      <c r="O43" s="34"/>
    </row>
    <row r="44" spans="1:15" ht="22.5" x14ac:dyDescent="0.2">
      <c r="A44" s="21">
        <v>127</v>
      </c>
      <c r="B44" s="22">
        <v>483</v>
      </c>
      <c r="C44" s="23" t="s">
        <v>279</v>
      </c>
      <c r="D44" s="24">
        <v>67869271</v>
      </c>
      <c r="E44" s="25" t="s">
        <v>280</v>
      </c>
      <c r="F44" s="26">
        <v>45838</v>
      </c>
      <c r="G44" s="25">
        <v>6873046</v>
      </c>
      <c r="H44" s="23" t="s">
        <v>203</v>
      </c>
      <c r="I44" s="25" t="s">
        <v>204</v>
      </c>
      <c r="J44" s="27">
        <v>10.199999999999999</v>
      </c>
      <c r="K44" s="27">
        <v>6.7399999999999993</v>
      </c>
      <c r="L44" s="27">
        <v>3.46</v>
      </c>
      <c r="N44" s="34"/>
      <c r="O44" s="34"/>
    </row>
    <row r="45" spans="1:15" ht="22.5" x14ac:dyDescent="0.2">
      <c r="A45" s="21">
        <v>128</v>
      </c>
      <c r="B45" s="22">
        <v>483</v>
      </c>
      <c r="C45" s="23" t="s">
        <v>279</v>
      </c>
      <c r="D45" s="24">
        <v>67869271</v>
      </c>
      <c r="E45" s="25" t="s">
        <v>280</v>
      </c>
      <c r="F45" s="26">
        <v>45838</v>
      </c>
      <c r="G45" s="25">
        <v>6873046</v>
      </c>
      <c r="H45" s="23" t="s">
        <v>203</v>
      </c>
      <c r="I45" s="25" t="s">
        <v>204</v>
      </c>
      <c r="J45" s="27">
        <v>10.199999999999999</v>
      </c>
      <c r="K45" s="27">
        <v>6.7399999999999993</v>
      </c>
      <c r="L45" s="27">
        <v>3.46</v>
      </c>
      <c r="N45" s="34"/>
      <c r="O45" s="34"/>
    </row>
    <row r="46" spans="1:15" ht="22.5" x14ac:dyDescent="0.2">
      <c r="A46" s="21">
        <v>129</v>
      </c>
      <c r="B46" s="22">
        <v>483</v>
      </c>
      <c r="C46" s="23" t="s">
        <v>279</v>
      </c>
      <c r="D46" s="24">
        <v>67869271</v>
      </c>
      <c r="E46" s="25" t="s">
        <v>280</v>
      </c>
      <c r="F46" s="26">
        <v>45838</v>
      </c>
      <c r="G46" s="25">
        <v>6875355</v>
      </c>
      <c r="H46" s="23" t="s">
        <v>205</v>
      </c>
      <c r="I46" s="25" t="s">
        <v>206</v>
      </c>
      <c r="J46" s="27">
        <v>6.6</v>
      </c>
      <c r="K46" s="27">
        <v>4.3599999999999994</v>
      </c>
      <c r="L46" s="27">
        <v>2.2400000000000002</v>
      </c>
      <c r="N46" s="34"/>
      <c r="O46" s="34"/>
    </row>
    <row r="47" spans="1:15" ht="22.5" x14ac:dyDescent="0.2">
      <c r="A47" s="21">
        <v>130</v>
      </c>
      <c r="B47" s="22">
        <v>483</v>
      </c>
      <c r="C47" s="23" t="s">
        <v>279</v>
      </c>
      <c r="D47" s="24">
        <v>67869271</v>
      </c>
      <c r="E47" s="25" t="s">
        <v>280</v>
      </c>
      <c r="F47" s="26">
        <v>45838</v>
      </c>
      <c r="G47" s="25">
        <v>6875355</v>
      </c>
      <c r="H47" s="23" t="s">
        <v>205</v>
      </c>
      <c r="I47" s="25" t="s">
        <v>206</v>
      </c>
      <c r="J47" s="27">
        <v>6.6</v>
      </c>
      <c r="K47" s="27">
        <v>4.3599999999999994</v>
      </c>
      <c r="L47" s="27">
        <v>2.2400000000000002</v>
      </c>
      <c r="N47" s="34"/>
      <c r="O47" s="34"/>
    </row>
    <row r="48" spans="1:15" ht="22.5" x14ac:dyDescent="0.2">
      <c r="A48" s="21">
        <v>131</v>
      </c>
      <c r="B48" s="22">
        <v>483</v>
      </c>
      <c r="C48" s="23" t="s">
        <v>279</v>
      </c>
      <c r="D48" s="24">
        <v>67869271</v>
      </c>
      <c r="E48" s="25" t="s">
        <v>280</v>
      </c>
      <c r="F48" s="26">
        <v>45838</v>
      </c>
      <c r="G48" s="25">
        <v>6883243</v>
      </c>
      <c r="H48" s="23" t="s">
        <v>209</v>
      </c>
      <c r="I48" s="25" t="s">
        <v>210</v>
      </c>
      <c r="J48" s="27">
        <v>1</v>
      </c>
      <c r="K48" s="27">
        <v>0.65999999999999992</v>
      </c>
      <c r="L48" s="27">
        <v>0.34</v>
      </c>
      <c r="N48" s="34"/>
      <c r="O48" s="34"/>
    </row>
    <row r="49" spans="2:12" x14ac:dyDescent="0.2">
      <c r="B49" s="12"/>
      <c r="C49" s="28"/>
      <c r="D49" s="29"/>
      <c r="E49" s="12"/>
      <c r="F49" s="12"/>
      <c r="G49" s="12"/>
      <c r="H49" s="30"/>
      <c r="I49" s="30"/>
      <c r="J49" s="30"/>
      <c r="K49" s="36"/>
      <c r="L49" s="11"/>
    </row>
    <row r="50" spans="2:12" x14ac:dyDescent="0.2">
      <c r="B50" s="12"/>
      <c r="C50" s="28"/>
      <c r="D50" s="29"/>
      <c r="E50" s="15"/>
      <c r="F50" s="15"/>
      <c r="G50" s="15"/>
      <c r="H50" s="15"/>
      <c r="I50" s="30"/>
      <c r="J50" s="30"/>
      <c r="K50" s="11"/>
      <c r="L50" s="11"/>
    </row>
    <row r="51" spans="2:12" x14ac:dyDescent="0.2">
      <c r="B51" s="12"/>
      <c r="C51" s="28"/>
      <c r="D51" s="29"/>
      <c r="E51" s="12"/>
      <c r="F51" s="11"/>
      <c r="G51" s="11"/>
      <c r="H51" s="11"/>
      <c r="I51" s="30"/>
      <c r="J51" s="30"/>
      <c r="K51" s="11"/>
      <c r="L51" s="11"/>
    </row>
    <row r="52" spans="2:12" ht="13.5" thickBot="1" x14ac:dyDescent="0.25">
      <c r="B52" s="12"/>
      <c r="C52" s="28"/>
      <c r="D52" s="11" t="s">
        <v>62</v>
      </c>
      <c r="E52" s="31"/>
      <c r="F52" s="31"/>
      <c r="G52" s="31"/>
      <c r="H52" s="32"/>
      <c r="I52" s="11"/>
      <c r="J52" s="30"/>
      <c r="K52" s="11"/>
      <c r="L52" s="33">
        <v>2533.4599999999996</v>
      </c>
    </row>
    <row r="53" spans="2:12" ht="13.5" thickTop="1" x14ac:dyDescent="0.2">
      <c r="B53" s="12"/>
      <c r="C53" s="28"/>
      <c r="D53" s="35"/>
      <c r="E53" s="31"/>
      <c r="F53" s="31"/>
      <c r="G53" s="31"/>
      <c r="H53" s="32"/>
      <c r="I53" s="11"/>
      <c r="J53" s="30"/>
      <c r="K53" s="11"/>
      <c r="L53" s="36"/>
    </row>
    <row r="57" spans="2:12" ht="59.65" customHeight="1" x14ac:dyDescent="0.25">
      <c r="C57"/>
      <c r="D57"/>
      <c r="E57"/>
      <c r="F57"/>
      <c r="G57"/>
      <c r="H57"/>
      <c r="I57"/>
      <c r="J57"/>
      <c r="K57"/>
    </row>
  </sheetData>
  <mergeCells count="4">
    <mergeCell ref="I14:J14"/>
    <mergeCell ref="B16:L16"/>
    <mergeCell ref="B17:L17"/>
    <mergeCell ref="J21:K21"/>
  </mergeCells>
  <dataValidations count="1">
    <dataValidation type="list" allowBlank="1" showInputMessage="1" showErrorMessage="1" sqref="C19:D19" xr:uid="{CF737B19-D93A-4A5F-A98C-7C9A84545CC4}">
      <formula1>#REF!</formula1>
    </dataValidation>
  </dataValidations>
  <pageMargins left="0.25" right="0.25" top="0.5" bottom="0.5" header="0.3" footer="0.3"/>
  <pageSetup scale="95" fitToHeight="0" orientation="landscape" r:id="rId1"/>
  <headerFooter differentFirst="1">
    <oddFooter>&amp;L&amp;P</oddFooter>
    <firstFooter>&amp;L&amp;P&amp;C&amp;"Calibri,Bold"YOUR PROMPT PAYMENT WILL BE GREATLY APPRECIATED.
IF ANY OF THESE CLAIMS WERE BILLED IN ERROR, PLEASE EMAIL YVONNE AGUILAR  AT YVONNE.AGUILAR@BANNERHEALTH.COM, SO WE CAN BILL THE PATIENT IN A TIMELY MANNER.  THANK YOU.</firstFoot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97680-0AB5-4D92-A4C0-1C6430CA0113}">
  <sheetPr>
    <tabColor rgb="FFFFFF00"/>
    <pageSetUpPr fitToPage="1"/>
  </sheetPr>
  <dimension ref="A1:L41"/>
  <sheetViews>
    <sheetView topLeftCell="B1" zoomScaleNormal="100" workbookViewId="0">
      <selection activeCell="G2" sqref="G2"/>
    </sheetView>
  </sheetViews>
  <sheetFormatPr defaultColWidth="8.85546875" defaultRowHeight="12.75" x14ac:dyDescent="0.2"/>
  <cols>
    <col min="1" max="1" width="8.85546875" style="2" hidden="1" customWidth="1"/>
    <col min="2" max="2" width="14.140625" style="2" customWidth="1"/>
    <col min="3" max="3" width="14.5703125" style="2" customWidth="1"/>
    <col min="4" max="4" width="14" style="2" customWidth="1"/>
    <col min="5" max="5" width="18.42578125" style="2" customWidth="1"/>
    <col min="6" max="7" width="11.42578125" style="2" customWidth="1"/>
    <col min="8" max="8" width="8.85546875" style="2"/>
    <col min="9" max="9" width="19.7109375" style="2" customWidth="1"/>
    <col min="10" max="10" width="10.28515625" style="2" customWidth="1"/>
    <col min="11" max="11" width="11.28515625" style="2" customWidth="1"/>
    <col min="12" max="12" width="9.5703125" style="2" customWidth="1"/>
    <col min="13" max="16384" width="8.85546875" style="2"/>
  </cols>
  <sheetData>
    <row r="1" spans="2:12" x14ac:dyDescent="0.2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x14ac:dyDescent="0.2">
      <c r="B2" s="1"/>
      <c r="C2" s="1"/>
      <c r="D2" s="1"/>
      <c r="E2" s="1"/>
      <c r="F2" s="1"/>
      <c r="G2" s="37" t="s">
        <v>311</v>
      </c>
      <c r="H2" s="1"/>
      <c r="I2" s="3" t="s">
        <v>0</v>
      </c>
      <c r="J2" s="4" t="s">
        <v>283</v>
      </c>
      <c r="K2" s="1"/>
      <c r="L2" s="1"/>
    </row>
    <row r="3" spans="2:12" x14ac:dyDescent="0.2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2:12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2:12" x14ac:dyDescent="0.2"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2:12" ht="4.9000000000000004" customHeight="1" x14ac:dyDescent="0.2"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2:12" x14ac:dyDescent="0.2">
      <c r="B7" s="3" t="s">
        <v>2</v>
      </c>
      <c r="C7" s="1"/>
      <c r="D7" s="1"/>
      <c r="E7" s="1"/>
      <c r="F7" s="1"/>
      <c r="G7" s="1"/>
      <c r="H7" s="1"/>
      <c r="I7" s="5" t="s">
        <v>3</v>
      </c>
      <c r="J7" s="1"/>
      <c r="K7" s="1"/>
      <c r="L7" s="1"/>
    </row>
    <row r="8" spans="2:12" x14ac:dyDescent="0.2">
      <c r="B8" s="3" t="s">
        <v>4</v>
      </c>
      <c r="C8" s="1"/>
      <c r="D8" s="1"/>
      <c r="E8" s="1"/>
      <c r="F8" s="1"/>
      <c r="G8" s="1"/>
      <c r="H8" s="1"/>
      <c r="I8" s="3" t="s">
        <v>5</v>
      </c>
      <c r="J8" s="1"/>
      <c r="K8" s="1"/>
      <c r="L8" s="1"/>
    </row>
    <row r="9" spans="2:12" x14ac:dyDescent="0.2">
      <c r="B9" s="3" t="s">
        <v>6</v>
      </c>
      <c r="C9" s="1"/>
      <c r="D9" s="1"/>
      <c r="E9" s="1"/>
      <c r="F9" s="1"/>
      <c r="G9" s="1"/>
      <c r="H9" s="1"/>
      <c r="I9" s="3" t="s">
        <v>7</v>
      </c>
      <c r="J9" s="1"/>
      <c r="K9" s="1"/>
      <c r="L9" s="1"/>
    </row>
    <row r="10" spans="2:12" x14ac:dyDescent="0.2">
      <c r="B10" s="3" t="s">
        <v>8</v>
      </c>
      <c r="C10" s="1"/>
      <c r="D10" s="1"/>
      <c r="E10" s="1"/>
      <c r="F10" s="1"/>
      <c r="G10" s="1"/>
      <c r="H10" s="1"/>
      <c r="I10" s="6" t="s">
        <v>9</v>
      </c>
      <c r="J10" s="1"/>
      <c r="K10" s="1"/>
      <c r="L10" s="1"/>
    </row>
    <row r="11" spans="2:12" x14ac:dyDescent="0.2">
      <c r="B11" s="3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2:12" x14ac:dyDescent="0.2">
      <c r="B12" s="3" t="s">
        <v>11</v>
      </c>
      <c r="C12" s="1"/>
      <c r="D12" s="1"/>
      <c r="E12" s="1"/>
      <c r="F12" s="1"/>
      <c r="G12" s="1"/>
      <c r="H12" s="1"/>
      <c r="I12" s="6" t="s">
        <v>12</v>
      </c>
      <c r="J12" s="6" t="s">
        <v>13</v>
      </c>
      <c r="K12" s="6"/>
      <c r="L12" s="1"/>
    </row>
    <row r="13" spans="2:12" ht="4.1500000000000004" customHeight="1" thickBot="1" x14ac:dyDescent="0.25">
      <c r="B13" s="3"/>
      <c r="C13" s="1"/>
      <c r="D13" s="1"/>
      <c r="E13" s="1"/>
      <c r="F13" s="6"/>
      <c r="G13" s="6"/>
      <c r="H13" s="6"/>
      <c r="I13" s="1"/>
      <c r="J13" s="1"/>
      <c r="K13" s="1"/>
      <c r="L13" s="1"/>
    </row>
    <row r="14" spans="2:12" ht="13.5" thickBot="1" x14ac:dyDescent="0.25">
      <c r="B14" s="7"/>
      <c r="C14" s="1"/>
      <c r="D14" s="1"/>
      <c r="E14" s="1"/>
      <c r="F14" s="1"/>
      <c r="G14" s="1"/>
      <c r="H14" s="1"/>
      <c r="I14" s="44" t="s">
        <v>14</v>
      </c>
      <c r="J14" s="45"/>
      <c r="K14" s="8" t="s">
        <v>15</v>
      </c>
      <c r="L14" s="9"/>
    </row>
    <row r="15" spans="2:12" ht="6" customHeight="1" thickBot="1" x14ac:dyDescent="0.25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2:12" ht="19.7" customHeight="1" thickTop="1" x14ac:dyDescent="0.2">
      <c r="B16" s="46" t="s">
        <v>16</v>
      </c>
      <c r="C16" s="46"/>
      <c r="D16" s="46"/>
      <c r="E16" s="46"/>
      <c r="F16" s="46"/>
      <c r="G16" s="46"/>
      <c r="H16" s="46"/>
      <c r="I16" s="46"/>
      <c r="J16" s="46"/>
      <c r="K16" s="46"/>
      <c r="L16" s="46"/>
    </row>
    <row r="17" spans="1:12" ht="15.6" customHeight="1" x14ac:dyDescent="0.2">
      <c r="B17" s="47">
        <v>45838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</row>
    <row r="18" spans="1:12" x14ac:dyDescent="0.2">
      <c r="B18" s="11" t="s">
        <v>17</v>
      </c>
      <c r="C18" s="11"/>
      <c r="D18" s="11"/>
      <c r="E18" s="12"/>
      <c r="F18" s="11"/>
      <c r="G18" s="11"/>
      <c r="H18" s="11"/>
      <c r="I18" s="1"/>
      <c r="J18" s="11"/>
      <c r="K18" s="11"/>
      <c r="L18" s="11"/>
    </row>
    <row r="19" spans="1:12" x14ac:dyDescent="0.2">
      <c r="A19" s="2" t="s">
        <v>18</v>
      </c>
      <c r="B19" s="11" t="s">
        <v>19</v>
      </c>
      <c r="C19" s="14" t="s">
        <v>284</v>
      </c>
      <c r="D19" s="11"/>
      <c r="E19" s="12"/>
      <c r="F19" s="1"/>
      <c r="G19" s="1"/>
      <c r="H19" s="1"/>
      <c r="I19" s="1"/>
      <c r="J19" s="1"/>
      <c r="K19" s="1"/>
      <c r="L19" s="11"/>
    </row>
    <row r="20" spans="1:12" ht="13.5" thickBot="1" x14ac:dyDescent="0.25">
      <c r="A20" s="2">
        <v>8</v>
      </c>
      <c r="B20" s="11" t="s">
        <v>21</v>
      </c>
      <c r="C20" s="14">
        <v>848</v>
      </c>
      <c r="D20" s="11"/>
      <c r="E20" s="12"/>
      <c r="F20" s="15"/>
      <c r="G20" s="15"/>
      <c r="H20" s="16"/>
      <c r="I20" s="16"/>
      <c r="J20" s="11"/>
      <c r="K20" s="11"/>
      <c r="L20" s="11"/>
    </row>
    <row r="21" spans="1:12" ht="13.9" customHeight="1" thickBot="1" x14ac:dyDescent="0.25">
      <c r="A21" s="2" t="s">
        <v>22</v>
      </c>
      <c r="B21" s="11" t="s">
        <v>23</v>
      </c>
      <c r="C21" s="14">
        <v>4261220</v>
      </c>
      <c r="E21" s="12"/>
      <c r="F21" s="15"/>
      <c r="G21" s="15"/>
      <c r="H21" s="16"/>
      <c r="I21" s="17" t="s">
        <v>24</v>
      </c>
      <c r="J21" s="52" t="s">
        <v>25</v>
      </c>
      <c r="K21" s="49"/>
      <c r="L21" s="11"/>
    </row>
    <row r="22" spans="1:12" x14ac:dyDescent="0.2">
      <c r="A22" s="2">
        <v>0</v>
      </c>
      <c r="B22" s="11" t="s">
        <v>26</v>
      </c>
      <c r="C22" s="14" t="s">
        <v>27</v>
      </c>
      <c r="D22" s="11"/>
      <c r="E22" s="12"/>
      <c r="F22" s="12"/>
      <c r="G22" s="12"/>
      <c r="H22" s="11"/>
      <c r="I22" s="11"/>
      <c r="J22" s="11"/>
      <c r="K22" s="11"/>
      <c r="L22" s="11"/>
    </row>
    <row r="23" spans="1:12" ht="4.1500000000000004" customHeight="1" x14ac:dyDescent="0.2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</row>
    <row r="24" spans="1:12" s="20" customFormat="1" ht="22.5" x14ac:dyDescent="0.2">
      <c r="A24" s="18" t="s">
        <v>28</v>
      </c>
      <c r="B24" s="19" t="s">
        <v>29</v>
      </c>
      <c r="C24" s="19" t="s">
        <v>30</v>
      </c>
      <c r="D24" s="19" t="s">
        <v>31</v>
      </c>
      <c r="E24" s="19" t="s">
        <v>32</v>
      </c>
      <c r="F24" s="19" t="s">
        <v>33</v>
      </c>
      <c r="G24" s="19" t="s">
        <v>34</v>
      </c>
      <c r="H24" s="19" t="s">
        <v>35</v>
      </c>
      <c r="I24" s="19" t="s">
        <v>36</v>
      </c>
      <c r="J24" s="19" t="s">
        <v>37</v>
      </c>
      <c r="K24" s="19" t="s">
        <v>38</v>
      </c>
      <c r="L24" s="19" t="s">
        <v>39</v>
      </c>
    </row>
    <row r="25" spans="1:12" x14ac:dyDescent="0.2">
      <c r="A25" s="21">
        <v>98</v>
      </c>
      <c r="B25" s="22">
        <v>483</v>
      </c>
      <c r="C25" s="23" t="s">
        <v>285</v>
      </c>
      <c r="D25" s="24">
        <v>67799700</v>
      </c>
      <c r="E25" s="25" t="s">
        <v>286</v>
      </c>
      <c r="F25" s="26">
        <v>45817</v>
      </c>
      <c r="G25" s="25">
        <v>3063732</v>
      </c>
      <c r="H25" s="23" t="s">
        <v>287</v>
      </c>
      <c r="I25" s="25" t="s">
        <v>288</v>
      </c>
      <c r="J25" s="27">
        <v>90</v>
      </c>
      <c r="K25" s="27">
        <v>60.870000000000005</v>
      </c>
      <c r="L25" s="27">
        <v>29.13</v>
      </c>
    </row>
    <row r="26" spans="1:12" x14ac:dyDescent="0.2">
      <c r="A26" s="21">
        <v>99</v>
      </c>
      <c r="B26" s="22">
        <v>483</v>
      </c>
      <c r="C26" s="23" t="s">
        <v>285</v>
      </c>
      <c r="D26" s="24">
        <v>67799700</v>
      </c>
      <c r="E26" s="25" t="s">
        <v>286</v>
      </c>
      <c r="F26" s="26">
        <v>45817</v>
      </c>
      <c r="G26" s="25">
        <v>3073913</v>
      </c>
      <c r="H26" s="23" t="s">
        <v>289</v>
      </c>
      <c r="I26" s="25" t="s">
        <v>290</v>
      </c>
      <c r="J26" s="27">
        <v>55</v>
      </c>
      <c r="K26" s="27">
        <v>39</v>
      </c>
      <c r="L26" s="27">
        <v>16</v>
      </c>
    </row>
    <row r="27" spans="1:12" x14ac:dyDescent="0.2">
      <c r="A27" s="21">
        <v>100</v>
      </c>
      <c r="B27" s="22">
        <v>483</v>
      </c>
      <c r="C27" s="23" t="s">
        <v>285</v>
      </c>
      <c r="D27" s="24">
        <v>67475459</v>
      </c>
      <c r="E27" s="25" t="s">
        <v>286</v>
      </c>
      <c r="F27" s="26">
        <v>45818</v>
      </c>
      <c r="G27" s="25">
        <v>3522893</v>
      </c>
      <c r="H27" s="23" t="s">
        <v>77</v>
      </c>
      <c r="I27" s="25" t="s">
        <v>78</v>
      </c>
      <c r="J27" s="27">
        <v>2518</v>
      </c>
      <c r="K27" s="27">
        <v>1664.9</v>
      </c>
      <c r="L27" s="27">
        <v>853.1</v>
      </c>
    </row>
    <row r="28" spans="1:12" ht="22.5" x14ac:dyDescent="0.2">
      <c r="A28" s="21">
        <v>101</v>
      </c>
      <c r="B28" s="22">
        <v>483</v>
      </c>
      <c r="C28" s="23" t="s">
        <v>285</v>
      </c>
      <c r="D28" s="24">
        <v>67475459</v>
      </c>
      <c r="E28" s="25" t="s">
        <v>286</v>
      </c>
      <c r="F28" s="26">
        <v>45818</v>
      </c>
      <c r="G28" s="25">
        <v>3528965</v>
      </c>
      <c r="H28" s="23" t="s">
        <v>127</v>
      </c>
      <c r="I28" s="25" t="s">
        <v>128</v>
      </c>
      <c r="J28" s="27">
        <v>3299</v>
      </c>
      <c r="K28" s="27">
        <v>2181.3000000000002</v>
      </c>
      <c r="L28" s="27">
        <v>1117.7</v>
      </c>
    </row>
    <row r="29" spans="1:12" ht="22.5" x14ac:dyDescent="0.2">
      <c r="A29" s="21">
        <v>102</v>
      </c>
      <c r="B29" s="22">
        <v>483</v>
      </c>
      <c r="C29" s="23" t="s">
        <v>285</v>
      </c>
      <c r="D29" s="24">
        <v>67475459</v>
      </c>
      <c r="E29" s="25" t="s">
        <v>286</v>
      </c>
      <c r="F29" s="26">
        <v>45818</v>
      </c>
      <c r="G29" s="25">
        <v>6868046</v>
      </c>
      <c r="H29" s="23" t="s">
        <v>79</v>
      </c>
      <c r="I29" s="25" t="s">
        <v>129</v>
      </c>
      <c r="J29" s="27">
        <v>48</v>
      </c>
      <c r="K29" s="27">
        <v>31.74</v>
      </c>
      <c r="L29" s="27">
        <v>16.260000000000002</v>
      </c>
    </row>
    <row r="30" spans="1:12" x14ac:dyDescent="0.2">
      <c r="A30" s="21">
        <v>103</v>
      </c>
      <c r="B30" s="22">
        <v>483</v>
      </c>
      <c r="C30" s="23" t="s">
        <v>291</v>
      </c>
      <c r="D30" s="24">
        <v>67836296</v>
      </c>
      <c r="E30" s="25" t="s">
        <v>292</v>
      </c>
      <c r="F30" s="26">
        <v>45828</v>
      </c>
      <c r="G30" s="25">
        <v>3522893</v>
      </c>
      <c r="H30" s="23" t="s">
        <v>77</v>
      </c>
      <c r="I30" s="25" t="s">
        <v>78</v>
      </c>
      <c r="J30" s="27">
        <v>2518</v>
      </c>
      <c r="K30" s="27">
        <v>1664.9</v>
      </c>
      <c r="L30" s="27">
        <v>853.1</v>
      </c>
    </row>
    <row r="31" spans="1:12" ht="22.5" x14ac:dyDescent="0.2">
      <c r="A31" s="21">
        <v>104</v>
      </c>
      <c r="B31" s="22">
        <v>483</v>
      </c>
      <c r="C31" s="23" t="s">
        <v>291</v>
      </c>
      <c r="D31" s="24">
        <v>67836296</v>
      </c>
      <c r="E31" s="25" t="s">
        <v>292</v>
      </c>
      <c r="F31" s="26">
        <v>45828</v>
      </c>
      <c r="G31" s="25">
        <v>3528965</v>
      </c>
      <c r="H31" s="23" t="s">
        <v>127</v>
      </c>
      <c r="I31" s="25" t="s">
        <v>128</v>
      </c>
      <c r="J31" s="27">
        <v>3299</v>
      </c>
      <c r="K31" s="27">
        <v>2181.3000000000002</v>
      </c>
      <c r="L31" s="27">
        <v>1117.7</v>
      </c>
    </row>
    <row r="32" spans="1:12" ht="22.5" x14ac:dyDescent="0.2">
      <c r="A32" s="21">
        <v>105</v>
      </c>
      <c r="B32" s="22">
        <v>483</v>
      </c>
      <c r="C32" s="23" t="s">
        <v>291</v>
      </c>
      <c r="D32" s="24">
        <v>67836296</v>
      </c>
      <c r="E32" s="25" t="s">
        <v>292</v>
      </c>
      <c r="F32" s="26">
        <v>45828</v>
      </c>
      <c r="G32" s="25">
        <v>6868061</v>
      </c>
      <c r="H32" s="23" t="s">
        <v>79</v>
      </c>
      <c r="I32" s="25" t="s">
        <v>80</v>
      </c>
      <c r="J32" s="27">
        <v>60</v>
      </c>
      <c r="K32" s="27">
        <v>39.67</v>
      </c>
      <c r="L32" s="27">
        <v>20.329999999999998</v>
      </c>
    </row>
    <row r="33" spans="2:12" x14ac:dyDescent="0.2">
      <c r="B33" s="12"/>
      <c r="C33" s="28"/>
      <c r="D33" s="29"/>
      <c r="E33" s="12"/>
      <c r="F33" s="12"/>
      <c r="G33" s="12"/>
      <c r="H33" s="30"/>
      <c r="I33" s="30"/>
      <c r="J33" s="30"/>
      <c r="K33" s="11"/>
      <c r="L33" s="11"/>
    </row>
    <row r="34" spans="2:12" x14ac:dyDescent="0.2">
      <c r="B34" s="12"/>
      <c r="C34" s="28"/>
      <c r="D34" s="29"/>
      <c r="E34" s="15"/>
      <c r="F34" s="15"/>
      <c r="G34" s="15"/>
      <c r="H34" s="15"/>
      <c r="I34" s="30"/>
      <c r="J34" s="30"/>
      <c r="K34" s="11"/>
      <c r="L34" s="11"/>
    </row>
    <row r="35" spans="2:12" x14ac:dyDescent="0.2">
      <c r="B35" s="12"/>
      <c r="C35" s="28"/>
      <c r="D35" s="29"/>
      <c r="E35" s="12"/>
      <c r="F35" s="11"/>
      <c r="G35" s="11"/>
      <c r="H35" s="11"/>
      <c r="I35" s="30"/>
      <c r="J35" s="30"/>
      <c r="K35" s="11"/>
      <c r="L35" s="11"/>
    </row>
    <row r="36" spans="2:12" ht="13.5" thickBot="1" x14ac:dyDescent="0.25">
      <c r="B36" s="12"/>
      <c r="C36" s="28"/>
      <c r="D36" s="11" t="s">
        <v>62</v>
      </c>
      <c r="E36" s="31"/>
      <c r="F36" s="31"/>
      <c r="G36" s="31"/>
      <c r="H36" s="32"/>
      <c r="I36" s="11"/>
      <c r="J36" s="30"/>
      <c r="K36" s="11"/>
      <c r="L36" s="33">
        <v>4023.3199999999997</v>
      </c>
    </row>
    <row r="37" spans="2:12" ht="13.5" thickTop="1" x14ac:dyDescent="0.2">
      <c r="B37" s="12"/>
      <c r="C37" s="28"/>
      <c r="D37" s="35"/>
      <c r="E37" s="31"/>
      <c r="F37" s="31"/>
      <c r="G37" s="31"/>
      <c r="H37" s="32"/>
      <c r="I37" s="11"/>
      <c r="J37" s="30"/>
      <c r="K37" s="11"/>
      <c r="L37" s="36"/>
    </row>
    <row r="41" spans="2:12" ht="59.65" customHeight="1" x14ac:dyDescent="0.25">
      <c r="C41"/>
      <c r="D41"/>
      <c r="E41"/>
      <c r="F41"/>
      <c r="G41"/>
      <c r="H41"/>
      <c r="I41"/>
      <c r="J41"/>
      <c r="K41"/>
    </row>
  </sheetData>
  <mergeCells count="4">
    <mergeCell ref="I14:J14"/>
    <mergeCell ref="B16:L16"/>
    <mergeCell ref="B17:L17"/>
    <mergeCell ref="J21:K21"/>
  </mergeCells>
  <dataValidations count="1">
    <dataValidation type="list" allowBlank="1" showInputMessage="1" showErrorMessage="1" sqref="C19:D19" xr:uid="{AD40656E-CB49-4825-A118-CD03E15BEA38}">
      <formula1>#REF!</formula1>
    </dataValidation>
  </dataValidations>
  <pageMargins left="0.25" right="0.25" top="0.5" bottom="0.5" header="0.3" footer="0.3"/>
  <pageSetup scale="94" fitToHeight="0" orientation="landscape" r:id="rId1"/>
  <headerFooter differentFirst="1">
    <oddFooter>&amp;L&amp;P</oddFooter>
    <firstFooter>&amp;L&amp;P&amp;C&amp;"Calibri,Bold"YOUR PROMPT PAYMENT WILL BE GREATLY APPRECIATED.
IF ANY OF THESE CLAIMS WERE BILLED IN ERROR, PLEASE EMAIL YVONNE AGUILAR  AT YVONNE.AGUILAR@BANNERHEALTH.COM, SO WE CAN BILL THE PATIENT IN A TIMELY MANNER.  THANK YOU.</firstFoot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4B3AA-F547-4303-8B02-6810EA0E85B0}">
  <sheetPr>
    <tabColor rgb="FFFFFF00"/>
    <pageSetUpPr fitToPage="1"/>
  </sheetPr>
  <dimension ref="A1:N36"/>
  <sheetViews>
    <sheetView topLeftCell="B1" zoomScaleNormal="100" workbookViewId="0">
      <selection activeCell="G2" sqref="G2"/>
    </sheetView>
  </sheetViews>
  <sheetFormatPr defaultColWidth="8.85546875" defaultRowHeight="12.75" x14ac:dyDescent="0.2"/>
  <cols>
    <col min="1" max="1" width="14.42578125" style="2" hidden="1" customWidth="1"/>
    <col min="2" max="2" width="14.140625" style="2" customWidth="1"/>
    <col min="3" max="3" width="15.140625" style="2" customWidth="1"/>
    <col min="4" max="4" width="14" style="2" customWidth="1"/>
    <col min="5" max="5" width="18.42578125" style="2" customWidth="1"/>
    <col min="6" max="7" width="11.42578125" style="2" customWidth="1"/>
    <col min="8" max="8" width="8.85546875" style="2"/>
    <col min="9" max="9" width="19.7109375" style="2" customWidth="1"/>
    <col min="10" max="10" width="10.5703125" style="2" customWidth="1"/>
    <col min="11" max="11" width="11.28515625" style="2" customWidth="1"/>
    <col min="12" max="12" width="10.28515625" style="2" customWidth="1"/>
    <col min="13" max="16384" width="8.85546875" style="2"/>
  </cols>
  <sheetData>
    <row r="1" spans="2:12" x14ac:dyDescent="0.2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x14ac:dyDescent="0.2">
      <c r="B2" s="1"/>
      <c r="C2" s="1"/>
      <c r="D2" s="1"/>
      <c r="E2" s="1"/>
      <c r="F2" s="1"/>
      <c r="G2" s="37" t="s">
        <v>311</v>
      </c>
      <c r="H2" s="1"/>
      <c r="I2" s="3" t="s">
        <v>0</v>
      </c>
      <c r="J2" s="4" t="s">
        <v>293</v>
      </c>
      <c r="K2" s="1"/>
      <c r="L2" s="1"/>
    </row>
    <row r="3" spans="2:12" x14ac:dyDescent="0.2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2:12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2:12" x14ac:dyDescent="0.2"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2:12" ht="4.9000000000000004" customHeight="1" x14ac:dyDescent="0.2"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2:12" x14ac:dyDescent="0.2">
      <c r="B7" s="3" t="s">
        <v>2</v>
      </c>
      <c r="C7" s="1"/>
      <c r="D7" s="1"/>
      <c r="E7" s="1"/>
      <c r="F7" s="1"/>
      <c r="G7" s="1"/>
      <c r="H7" s="1"/>
      <c r="I7" s="5" t="s">
        <v>3</v>
      </c>
      <c r="J7" s="1"/>
      <c r="K7" s="1"/>
      <c r="L7" s="1"/>
    </row>
    <row r="8" spans="2:12" x14ac:dyDescent="0.2">
      <c r="B8" s="3" t="s">
        <v>4</v>
      </c>
      <c r="C8" s="1"/>
      <c r="D8" s="1"/>
      <c r="E8" s="1"/>
      <c r="F8" s="1"/>
      <c r="G8" s="1"/>
      <c r="H8" s="1"/>
      <c r="I8" s="3" t="s">
        <v>5</v>
      </c>
      <c r="J8" s="1"/>
      <c r="K8" s="1"/>
      <c r="L8" s="1"/>
    </row>
    <row r="9" spans="2:12" x14ac:dyDescent="0.2">
      <c r="B9" s="3" t="s">
        <v>6</v>
      </c>
      <c r="C9" s="1"/>
      <c r="D9" s="1"/>
      <c r="E9" s="1"/>
      <c r="F9" s="1"/>
      <c r="G9" s="1"/>
      <c r="H9" s="1"/>
      <c r="I9" s="3" t="s">
        <v>7</v>
      </c>
      <c r="J9" s="1"/>
      <c r="K9" s="1"/>
      <c r="L9" s="1"/>
    </row>
    <row r="10" spans="2:12" x14ac:dyDescent="0.2">
      <c r="B10" s="3" t="s">
        <v>8</v>
      </c>
      <c r="C10" s="1"/>
      <c r="D10" s="1"/>
      <c r="E10" s="1"/>
      <c r="F10" s="1"/>
      <c r="G10" s="1"/>
      <c r="H10" s="1"/>
      <c r="I10" s="6" t="s">
        <v>9</v>
      </c>
      <c r="J10" s="1"/>
      <c r="K10" s="1"/>
      <c r="L10" s="1"/>
    </row>
    <row r="11" spans="2:12" x14ac:dyDescent="0.2">
      <c r="B11" s="3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2:12" x14ac:dyDescent="0.2">
      <c r="B12" s="3" t="s">
        <v>11</v>
      </c>
      <c r="C12" s="1"/>
      <c r="D12" s="1"/>
      <c r="E12" s="1"/>
      <c r="F12" s="1"/>
      <c r="G12" s="1"/>
      <c r="H12" s="1"/>
      <c r="I12" s="6" t="s">
        <v>12</v>
      </c>
      <c r="J12" s="6" t="s">
        <v>13</v>
      </c>
      <c r="K12" s="6"/>
      <c r="L12" s="1"/>
    </row>
    <row r="13" spans="2:12" ht="4.1500000000000004" customHeight="1" thickBot="1" x14ac:dyDescent="0.25">
      <c r="B13" s="3"/>
      <c r="C13" s="1"/>
      <c r="D13" s="1"/>
      <c r="E13" s="1"/>
      <c r="F13" s="6"/>
      <c r="G13" s="6"/>
      <c r="H13" s="6"/>
      <c r="I13" s="1"/>
      <c r="J13" s="1"/>
      <c r="K13" s="1"/>
      <c r="L13" s="1"/>
    </row>
    <row r="14" spans="2:12" ht="13.5" thickBot="1" x14ac:dyDescent="0.25">
      <c r="B14" s="7"/>
      <c r="C14" s="1"/>
      <c r="D14" s="1"/>
      <c r="E14" s="1"/>
      <c r="F14" s="1"/>
      <c r="G14" s="1"/>
      <c r="H14" s="1"/>
      <c r="I14" s="44" t="s">
        <v>14</v>
      </c>
      <c r="J14" s="45"/>
      <c r="K14" s="8" t="s">
        <v>15</v>
      </c>
      <c r="L14" s="9"/>
    </row>
    <row r="15" spans="2:12" ht="6" customHeight="1" thickBot="1" x14ac:dyDescent="0.25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2:12" ht="19.7" customHeight="1" thickTop="1" x14ac:dyDescent="0.2">
      <c r="B16" s="46" t="s">
        <v>16</v>
      </c>
      <c r="C16" s="46"/>
      <c r="D16" s="46"/>
      <c r="E16" s="46"/>
      <c r="F16" s="46"/>
      <c r="G16" s="46"/>
      <c r="H16" s="46"/>
      <c r="I16" s="46"/>
      <c r="J16" s="46"/>
      <c r="K16" s="46"/>
      <c r="L16" s="46"/>
    </row>
    <row r="17" spans="1:14" ht="15.6" customHeight="1" x14ac:dyDescent="0.2">
      <c r="B17" s="47">
        <v>45838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</row>
    <row r="18" spans="1:14" x14ac:dyDescent="0.2">
      <c r="B18" s="11" t="s">
        <v>17</v>
      </c>
      <c r="C18" s="11"/>
      <c r="D18" s="11"/>
      <c r="E18" s="12"/>
      <c r="F18" s="11"/>
      <c r="G18" s="11"/>
      <c r="H18" s="11"/>
      <c r="I18" s="1"/>
      <c r="J18" s="11"/>
      <c r="K18" s="11"/>
      <c r="L18" s="11"/>
    </row>
    <row r="19" spans="1:14" ht="15" x14ac:dyDescent="0.25">
      <c r="A19" s="2" t="s">
        <v>18</v>
      </c>
      <c r="B19" s="11" t="s">
        <v>19</v>
      </c>
      <c r="C19" s="13" t="s">
        <v>294</v>
      </c>
      <c r="D19" s="11"/>
      <c r="E19" s="12"/>
      <c r="F19" s="1"/>
      <c r="G19" s="1"/>
      <c r="H19" s="1"/>
      <c r="I19" s="1"/>
      <c r="J19" s="1"/>
      <c r="K19" s="1"/>
      <c r="L19" s="11"/>
    </row>
    <row r="20" spans="1:14" ht="13.5" thickBot="1" x14ac:dyDescent="0.25">
      <c r="A20" s="2">
        <v>3</v>
      </c>
      <c r="B20" s="11" t="s">
        <v>21</v>
      </c>
      <c r="C20" s="14">
        <v>2821</v>
      </c>
      <c r="D20" s="11"/>
      <c r="E20" s="12"/>
      <c r="F20" s="15"/>
      <c r="G20" s="15"/>
      <c r="H20" s="16"/>
      <c r="I20" s="16"/>
      <c r="J20" s="11"/>
      <c r="K20" s="11"/>
      <c r="L20" s="11"/>
    </row>
    <row r="21" spans="1:14" ht="13.9" customHeight="1" thickBot="1" x14ac:dyDescent="0.25">
      <c r="A21" s="2" t="s">
        <v>22</v>
      </c>
      <c r="B21" s="11" t="s">
        <v>23</v>
      </c>
      <c r="C21" s="14">
        <v>4269940</v>
      </c>
      <c r="E21" s="12"/>
      <c r="F21" s="15"/>
      <c r="G21" s="15"/>
      <c r="H21" s="16"/>
      <c r="I21" s="17" t="s">
        <v>24</v>
      </c>
      <c r="J21" s="52" t="s">
        <v>25</v>
      </c>
      <c r="K21" s="49"/>
      <c r="L21" s="11"/>
    </row>
    <row r="22" spans="1:14" x14ac:dyDescent="0.2">
      <c r="A22" s="2">
        <v>0</v>
      </c>
      <c r="B22" s="11" t="s">
        <v>26</v>
      </c>
      <c r="C22" s="14" t="s">
        <v>27</v>
      </c>
      <c r="D22" s="11"/>
      <c r="E22" s="12"/>
      <c r="F22" s="12"/>
      <c r="G22" s="12"/>
      <c r="H22" s="11"/>
      <c r="I22" s="11"/>
      <c r="J22" s="11"/>
      <c r="K22" s="11"/>
      <c r="L22" s="11"/>
    </row>
    <row r="23" spans="1:14" ht="4.1500000000000004" customHeight="1" x14ac:dyDescent="0.2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</row>
    <row r="24" spans="1:14" s="20" customFormat="1" ht="22.5" x14ac:dyDescent="0.2">
      <c r="A24" s="18" t="s">
        <v>28</v>
      </c>
      <c r="B24" s="19" t="s">
        <v>29</v>
      </c>
      <c r="C24" s="19" t="s">
        <v>30</v>
      </c>
      <c r="D24" s="19" t="s">
        <v>31</v>
      </c>
      <c r="E24" s="19" t="s">
        <v>32</v>
      </c>
      <c r="F24" s="19" t="s">
        <v>33</v>
      </c>
      <c r="G24" s="19" t="s">
        <v>34</v>
      </c>
      <c r="H24" s="19" t="s">
        <v>35</v>
      </c>
      <c r="I24" s="19" t="s">
        <v>36</v>
      </c>
      <c r="J24" s="19" t="s">
        <v>37</v>
      </c>
      <c r="K24" s="19" t="s">
        <v>38</v>
      </c>
      <c r="L24" s="19" t="s">
        <v>39</v>
      </c>
    </row>
    <row r="25" spans="1:14" x14ac:dyDescent="0.2">
      <c r="A25" s="21">
        <v>184</v>
      </c>
      <c r="B25" s="22">
        <v>483</v>
      </c>
      <c r="C25" s="23" t="s">
        <v>295</v>
      </c>
      <c r="D25" s="24">
        <v>67903443</v>
      </c>
      <c r="E25" s="25" t="s">
        <v>296</v>
      </c>
      <c r="F25" s="26">
        <v>45824</v>
      </c>
      <c r="G25" s="25">
        <v>3074192</v>
      </c>
      <c r="H25" s="23" t="s">
        <v>125</v>
      </c>
      <c r="I25" s="25" t="s">
        <v>126</v>
      </c>
      <c r="J25" s="27">
        <v>202</v>
      </c>
      <c r="K25" s="27">
        <v>183.25</v>
      </c>
      <c r="L25" s="27">
        <v>18.75</v>
      </c>
    </row>
    <row r="26" spans="1:14" ht="22.5" x14ac:dyDescent="0.2">
      <c r="A26" s="21">
        <v>185</v>
      </c>
      <c r="B26" s="22">
        <v>483</v>
      </c>
      <c r="C26" s="23" t="s">
        <v>295</v>
      </c>
      <c r="D26" s="24">
        <v>67903443</v>
      </c>
      <c r="E26" s="25" t="s">
        <v>296</v>
      </c>
      <c r="F26" s="26">
        <v>45824</v>
      </c>
      <c r="G26" s="25">
        <v>3086303</v>
      </c>
      <c r="H26" s="23" t="s">
        <v>52</v>
      </c>
      <c r="I26" s="25" t="s">
        <v>53</v>
      </c>
      <c r="J26" s="27">
        <v>87</v>
      </c>
      <c r="K26" s="27">
        <v>80.989999999999995</v>
      </c>
      <c r="L26" s="27">
        <v>6.01</v>
      </c>
    </row>
    <row r="27" spans="1:14" ht="22.5" x14ac:dyDescent="0.2">
      <c r="A27" s="21">
        <v>186</v>
      </c>
      <c r="B27" s="22">
        <v>483</v>
      </c>
      <c r="C27" s="23" t="s">
        <v>295</v>
      </c>
      <c r="D27" s="24">
        <v>67903443</v>
      </c>
      <c r="E27" s="25" t="s">
        <v>296</v>
      </c>
      <c r="F27" s="26">
        <v>45824</v>
      </c>
      <c r="G27" s="25">
        <v>3086428</v>
      </c>
      <c r="H27" s="23" t="s">
        <v>54</v>
      </c>
      <c r="I27" s="25" t="s">
        <v>55</v>
      </c>
      <c r="J27" s="27">
        <v>82</v>
      </c>
      <c r="K27" s="27">
        <v>73.59</v>
      </c>
      <c r="L27" s="27">
        <v>8.41</v>
      </c>
    </row>
    <row r="28" spans="1:14" x14ac:dyDescent="0.2">
      <c r="B28" s="12"/>
      <c r="C28" s="28"/>
      <c r="D28" s="29"/>
      <c r="E28" s="12"/>
      <c r="F28" s="12"/>
      <c r="G28" s="12"/>
      <c r="H28" s="30"/>
      <c r="I28" s="30"/>
      <c r="J28" s="30"/>
      <c r="K28" s="11"/>
      <c r="L28" s="11"/>
    </row>
    <row r="29" spans="1:14" x14ac:dyDescent="0.2">
      <c r="B29" s="12"/>
      <c r="C29" s="28"/>
      <c r="D29" s="29"/>
      <c r="E29" s="15"/>
      <c r="F29" s="15"/>
      <c r="G29" s="15"/>
      <c r="H29" s="15"/>
      <c r="I29" s="30"/>
      <c r="J29" s="30"/>
      <c r="K29" s="11"/>
      <c r="L29" s="11"/>
    </row>
    <row r="30" spans="1:14" x14ac:dyDescent="0.2">
      <c r="B30" s="12"/>
      <c r="C30" s="28"/>
      <c r="D30" s="29"/>
      <c r="E30" s="12"/>
      <c r="F30" s="11"/>
      <c r="G30" s="11"/>
      <c r="H30" s="11"/>
      <c r="I30" s="30"/>
      <c r="J30" s="30"/>
      <c r="K30" s="11"/>
      <c r="L30" s="11"/>
    </row>
    <row r="31" spans="1:14" ht="13.5" thickBot="1" x14ac:dyDescent="0.25">
      <c r="B31" s="12"/>
      <c r="C31" s="28"/>
      <c r="D31" s="11" t="s">
        <v>62</v>
      </c>
      <c r="E31" s="31"/>
      <c r="F31" s="31"/>
      <c r="G31" s="31"/>
      <c r="H31" s="32"/>
      <c r="I31" s="11"/>
      <c r="J31" s="30"/>
      <c r="K31" s="11"/>
      <c r="L31" s="33">
        <v>33.17</v>
      </c>
      <c r="M31" s="34"/>
      <c r="N31" s="34"/>
    </row>
    <row r="32" spans="1:14" ht="13.5" thickTop="1" x14ac:dyDescent="0.2">
      <c r="B32" s="12"/>
      <c r="C32" s="28"/>
      <c r="D32" s="35"/>
      <c r="E32" s="31"/>
      <c r="F32" s="31"/>
      <c r="G32" s="31"/>
      <c r="H32" s="32"/>
      <c r="I32" s="11"/>
      <c r="J32" s="30"/>
      <c r="K32" s="11"/>
      <c r="L32" s="36"/>
    </row>
    <row r="36" spans="3:11" ht="59.45" customHeight="1" x14ac:dyDescent="0.2">
      <c r="C36" s="50"/>
      <c r="D36" s="50"/>
      <c r="E36" s="50"/>
      <c r="F36" s="50"/>
      <c r="G36" s="50"/>
      <c r="H36" s="50"/>
      <c r="I36" s="50"/>
      <c r="J36" s="50"/>
      <c r="K36" s="50"/>
    </row>
  </sheetData>
  <mergeCells count="5">
    <mergeCell ref="I14:J14"/>
    <mergeCell ref="B16:L16"/>
    <mergeCell ref="B17:L17"/>
    <mergeCell ref="J21:K21"/>
    <mergeCell ref="C36:K36"/>
  </mergeCells>
  <dataValidations count="1">
    <dataValidation type="list" allowBlank="1" showInputMessage="1" showErrorMessage="1" sqref="C19:D19" xr:uid="{04905F1C-8C6D-4C3C-9A19-1A3AA4E26E07}">
      <formula1>#REF!</formula1>
    </dataValidation>
  </dataValidations>
  <pageMargins left="0.25" right="0.25" top="0.5" bottom="0.5" header="0.3" footer="0.3"/>
  <pageSetup scale="93" fitToHeight="0" orientation="landscape" r:id="rId1"/>
  <headerFooter differentFirst="1">
    <oddFooter>&amp;L&amp;P</oddFooter>
    <firstFooter>&amp;L&amp;P&amp;C&amp;"Calibri,Bold"YOUR PROMPT PAYMENT WILL BE GREATLY APPRECIATED.
IF ANY OF THESE CLAIMS WERE BILLED IN ERROR, PLEASE EMAIL YVONNE AGUILAR  AT YVONNE.AGUILAR@BANNERHEALTH.COM, SO WE CAN BILL THE PATIENT IN A TIMELY MANNER.  THANK YOU.</firstFooter>
  </headerFooter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70618-4D99-40DE-BC37-0BEC9ECCCFA7}">
  <sheetPr>
    <tabColor rgb="FFFFFF00"/>
    <pageSetUpPr fitToPage="1"/>
  </sheetPr>
  <dimension ref="A1:L57"/>
  <sheetViews>
    <sheetView topLeftCell="B1" zoomScaleNormal="100" workbookViewId="0">
      <selection activeCell="G2" sqref="G2"/>
    </sheetView>
  </sheetViews>
  <sheetFormatPr defaultColWidth="8.85546875" defaultRowHeight="12.75" x14ac:dyDescent="0.2"/>
  <cols>
    <col min="1" max="1" width="14.42578125" style="2" hidden="1" customWidth="1"/>
    <col min="2" max="2" width="14.140625" style="2" customWidth="1"/>
    <col min="3" max="3" width="14.42578125" style="2" customWidth="1"/>
    <col min="4" max="4" width="14" style="2" customWidth="1"/>
    <col min="5" max="5" width="18.42578125" style="2" customWidth="1"/>
    <col min="6" max="7" width="11.42578125" style="2" customWidth="1"/>
    <col min="8" max="8" width="8.85546875" style="2"/>
    <col min="9" max="9" width="19.7109375" style="2" customWidth="1"/>
    <col min="10" max="10" width="9.85546875" style="2" customWidth="1"/>
    <col min="11" max="11" width="11.140625" style="2" customWidth="1"/>
    <col min="12" max="12" width="9.85546875" style="2" customWidth="1"/>
    <col min="13" max="16384" width="8.85546875" style="2"/>
  </cols>
  <sheetData>
    <row r="1" spans="2:12" x14ac:dyDescent="0.2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x14ac:dyDescent="0.2">
      <c r="B2" s="1"/>
      <c r="C2" s="1"/>
      <c r="D2" s="1"/>
      <c r="E2" s="1"/>
      <c r="F2" s="1"/>
      <c r="G2" s="37" t="s">
        <v>311</v>
      </c>
      <c r="H2" s="1"/>
      <c r="I2" s="3" t="s">
        <v>0</v>
      </c>
      <c r="J2" s="4" t="s">
        <v>297</v>
      </c>
      <c r="K2" s="1"/>
      <c r="L2" s="1"/>
    </row>
    <row r="3" spans="2:12" x14ac:dyDescent="0.2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2:12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2:12" x14ac:dyDescent="0.2"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2:12" ht="4.9000000000000004" customHeight="1" x14ac:dyDescent="0.2"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2:12" x14ac:dyDescent="0.2">
      <c r="B7" s="3" t="s">
        <v>2</v>
      </c>
      <c r="C7" s="1"/>
      <c r="D7" s="1"/>
      <c r="E7" s="1"/>
      <c r="F7" s="1"/>
      <c r="G7" s="1"/>
      <c r="H7" s="1"/>
      <c r="I7" s="5" t="s">
        <v>3</v>
      </c>
      <c r="J7" s="1"/>
      <c r="K7" s="1"/>
      <c r="L7" s="1"/>
    </row>
    <row r="8" spans="2:12" x14ac:dyDescent="0.2">
      <c r="B8" s="3" t="s">
        <v>4</v>
      </c>
      <c r="C8" s="1"/>
      <c r="D8" s="1"/>
      <c r="E8" s="1"/>
      <c r="F8" s="1"/>
      <c r="G8" s="1"/>
      <c r="H8" s="1"/>
      <c r="I8" s="3" t="s">
        <v>5</v>
      </c>
      <c r="J8" s="1"/>
      <c r="K8" s="1"/>
      <c r="L8" s="1"/>
    </row>
    <row r="9" spans="2:12" x14ac:dyDescent="0.2">
      <c r="B9" s="3" t="s">
        <v>6</v>
      </c>
      <c r="C9" s="1"/>
      <c r="D9" s="1"/>
      <c r="E9" s="1"/>
      <c r="F9" s="1"/>
      <c r="G9" s="1"/>
      <c r="H9" s="1"/>
      <c r="I9" s="3" t="s">
        <v>7</v>
      </c>
      <c r="J9" s="1"/>
      <c r="K9" s="1"/>
      <c r="L9" s="1"/>
    </row>
    <row r="10" spans="2:12" x14ac:dyDescent="0.2">
      <c r="B10" s="3" t="s">
        <v>8</v>
      </c>
      <c r="C10" s="1"/>
      <c r="D10" s="1"/>
      <c r="E10" s="1"/>
      <c r="F10" s="1"/>
      <c r="G10" s="1"/>
      <c r="H10" s="1"/>
      <c r="I10" s="6" t="s">
        <v>9</v>
      </c>
      <c r="J10" s="1"/>
      <c r="K10" s="1"/>
      <c r="L10" s="1"/>
    </row>
    <row r="11" spans="2:12" x14ac:dyDescent="0.2">
      <c r="B11" s="3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2:12" x14ac:dyDescent="0.2">
      <c r="B12" s="3" t="s">
        <v>11</v>
      </c>
      <c r="C12" s="1"/>
      <c r="D12" s="1"/>
      <c r="E12" s="1"/>
      <c r="F12" s="1"/>
      <c r="G12" s="1"/>
      <c r="H12" s="1"/>
      <c r="I12" s="6" t="s">
        <v>12</v>
      </c>
      <c r="J12" s="6" t="s">
        <v>13</v>
      </c>
      <c r="K12" s="6"/>
      <c r="L12" s="1"/>
    </row>
    <row r="13" spans="2:12" ht="4.1500000000000004" customHeight="1" thickBot="1" x14ac:dyDescent="0.25">
      <c r="B13" s="3"/>
      <c r="C13" s="1"/>
      <c r="D13" s="1"/>
      <c r="E13" s="1"/>
      <c r="F13" s="6"/>
      <c r="G13" s="6"/>
      <c r="H13" s="6"/>
      <c r="I13" s="1"/>
      <c r="J13" s="1"/>
      <c r="K13" s="1"/>
      <c r="L13" s="1"/>
    </row>
    <row r="14" spans="2:12" ht="13.5" thickBot="1" x14ac:dyDescent="0.25">
      <c r="B14" s="7"/>
      <c r="C14" s="1"/>
      <c r="D14" s="1"/>
      <c r="E14" s="1"/>
      <c r="F14" s="1"/>
      <c r="G14" s="1"/>
      <c r="H14" s="1"/>
      <c r="I14" s="44" t="s">
        <v>14</v>
      </c>
      <c r="J14" s="45"/>
      <c r="K14" s="8" t="s">
        <v>15</v>
      </c>
      <c r="L14" s="9"/>
    </row>
    <row r="15" spans="2:12" ht="6" customHeight="1" thickBot="1" x14ac:dyDescent="0.25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2:12" ht="19.7" customHeight="1" thickTop="1" x14ac:dyDescent="0.2">
      <c r="B16" s="46" t="s">
        <v>16</v>
      </c>
      <c r="C16" s="46"/>
      <c r="D16" s="46"/>
      <c r="E16" s="46"/>
      <c r="F16" s="46"/>
      <c r="G16" s="46"/>
      <c r="H16" s="46"/>
      <c r="I16" s="46"/>
      <c r="J16" s="46"/>
      <c r="K16" s="46"/>
      <c r="L16" s="46"/>
    </row>
    <row r="17" spans="1:12" ht="15.6" customHeight="1" x14ac:dyDescent="0.2">
      <c r="B17" s="47">
        <v>45838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</row>
    <row r="18" spans="1:12" x14ac:dyDescent="0.2">
      <c r="B18" s="11" t="s">
        <v>17</v>
      </c>
      <c r="C18" s="11"/>
      <c r="D18" s="11"/>
      <c r="E18" s="12"/>
      <c r="F18" s="11"/>
      <c r="G18" s="11"/>
      <c r="H18" s="11"/>
      <c r="I18" s="1"/>
      <c r="J18" s="11"/>
      <c r="K18" s="11"/>
      <c r="L18" s="11"/>
    </row>
    <row r="19" spans="1:12" x14ac:dyDescent="0.2">
      <c r="A19" s="2" t="s">
        <v>18</v>
      </c>
      <c r="B19" s="11" t="s">
        <v>19</v>
      </c>
      <c r="C19" s="14" t="s">
        <v>298</v>
      </c>
      <c r="D19" s="11"/>
      <c r="E19" s="12"/>
      <c r="F19" s="1"/>
      <c r="G19" s="1"/>
      <c r="H19" s="1"/>
      <c r="I19" s="1"/>
      <c r="J19" s="1"/>
      <c r="K19" s="1"/>
      <c r="L19" s="11"/>
    </row>
    <row r="20" spans="1:12" ht="13.5" thickBot="1" x14ac:dyDescent="0.25">
      <c r="A20" s="2">
        <v>24</v>
      </c>
      <c r="B20" s="11" t="s">
        <v>21</v>
      </c>
      <c r="C20" s="14">
        <v>3182</v>
      </c>
      <c r="D20" s="11"/>
      <c r="E20" s="12"/>
      <c r="F20" s="15"/>
      <c r="G20" s="15"/>
      <c r="H20" s="16"/>
      <c r="I20" s="16"/>
      <c r="J20" s="11"/>
      <c r="K20" s="11"/>
      <c r="L20" s="11"/>
    </row>
    <row r="21" spans="1:12" ht="13.9" customHeight="1" thickBot="1" x14ac:dyDescent="0.25">
      <c r="A21" s="2" t="s">
        <v>22</v>
      </c>
      <c r="B21" s="11" t="s">
        <v>23</v>
      </c>
      <c r="C21" s="14">
        <v>4269380</v>
      </c>
      <c r="E21" s="12"/>
      <c r="F21" s="15"/>
      <c r="G21" s="15"/>
      <c r="H21" s="16"/>
      <c r="I21" s="17" t="s">
        <v>24</v>
      </c>
      <c r="J21" s="52" t="s">
        <v>25</v>
      </c>
      <c r="K21" s="49"/>
      <c r="L21" s="11"/>
    </row>
    <row r="22" spans="1:12" x14ac:dyDescent="0.2">
      <c r="A22" s="2">
        <v>0</v>
      </c>
      <c r="B22" s="11" t="s">
        <v>26</v>
      </c>
      <c r="C22" s="14" t="s">
        <v>27</v>
      </c>
      <c r="D22" s="11"/>
      <c r="E22" s="12"/>
      <c r="F22" s="12"/>
      <c r="G22" s="12"/>
      <c r="H22" s="11"/>
      <c r="I22" s="11"/>
      <c r="J22" s="11"/>
      <c r="K22" s="11"/>
      <c r="L22" s="11"/>
    </row>
    <row r="23" spans="1:12" ht="4.1500000000000004" customHeight="1" x14ac:dyDescent="0.2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</row>
    <row r="24" spans="1:12" s="20" customFormat="1" ht="22.5" x14ac:dyDescent="0.2">
      <c r="A24" s="18" t="s">
        <v>28</v>
      </c>
      <c r="B24" s="19" t="s">
        <v>29</v>
      </c>
      <c r="C24" s="19" t="s">
        <v>30</v>
      </c>
      <c r="D24" s="19" t="s">
        <v>31</v>
      </c>
      <c r="E24" s="19" t="s">
        <v>32</v>
      </c>
      <c r="F24" s="19" t="s">
        <v>33</v>
      </c>
      <c r="G24" s="19" t="s">
        <v>34</v>
      </c>
      <c r="H24" s="19" t="s">
        <v>35</v>
      </c>
      <c r="I24" s="19" t="s">
        <v>36</v>
      </c>
      <c r="J24" s="19" t="s">
        <v>37</v>
      </c>
      <c r="K24" s="19" t="s">
        <v>38</v>
      </c>
      <c r="L24" s="19" t="s">
        <v>39</v>
      </c>
    </row>
    <row r="25" spans="1:12" ht="22.5" x14ac:dyDescent="0.2">
      <c r="A25" s="21">
        <v>194</v>
      </c>
      <c r="B25" s="22">
        <v>483</v>
      </c>
      <c r="C25" s="23" t="s">
        <v>299</v>
      </c>
      <c r="D25" s="24">
        <v>67704999</v>
      </c>
      <c r="E25" s="25" t="s">
        <v>300</v>
      </c>
      <c r="F25" s="26">
        <v>45804</v>
      </c>
      <c r="G25" s="25">
        <v>3063641</v>
      </c>
      <c r="H25" s="23" t="s">
        <v>140</v>
      </c>
      <c r="I25" s="25" t="s">
        <v>141</v>
      </c>
      <c r="J25" s="27">
        <v>475</v>
      </c>
      <c r="K25" s="27">
        <v>460.22</v>
      </c>
      <c r="L25" s="27">
        <v>14.78</v>
      </c>
    </row>
    <row r="26" spans="1:12" ht="22.5" x14ac:dyDescent="0.2">
      <c r="A26" s="21">
        <v>195</v>
      </c>
      <c r="B26" s="22">
        <v>483</v>
      </c>
      <c r="C26" s="23" t="s">
        <v>299</v>
      </c>
      <c r="D26" s="24">
        <v>67704999</v>
      </c>
      <c r="E26" s="25" t="s">
        <v>300</v>
      </c>
      <c r="F26" s="26">
        <v>45817</v>
      </c>
      <c r="G26" s="25">
        <v>3063641</v>
      </c>
      <c r="H26" s="23" t="s">
        <v>140</v>
      </c>
      <c r="I26" s="25" t="s">
        <v>141</v>
      </c>
      <c r="J26" s="27">
        <v>475</v>
      </c>
      <c r="K26" s="27">
        <v>460.22</v>
      </c>
      <c r="L26" s="27">
        <v>14.78</v>
      </c>
    </row>
    <row r="27" spans="1:12" ht="22.5" x14ac:dyDescent="0.2">
      <c r="A27" s="21">
        <v>196</v>
      </c>
      <c r="B27" s="22">
        <v>483</v>
      </c>
      <c r="C27" s="23" t="s">
        <v>299</v>
      </c>
      <c r="D27" s="24">
        <v>67704999</v>
      </c>
      <c r="E27" s="25" t="s">
        <v>300</v>
      </c>
      <c r="F27" s="26">
        <v>45825</v>
      </c>
      <c r="G27" s="25">
        <v>3063641</v>
      </c>
      <c r="H27" s="23" t="s">
        <v>140</v>
      </c>
      <c r="I27" s="25" t="s">
        <v>141</v>
      </c>
      <c r="J27" s="27">
        <v>475</v>
      </c>
      <c r="K27" s="27">
        <v>460.22</v>
      </c>
      <c r="L27" s="27">
        <v>14.78</v>
      </c>
    </row>
    <row r="28" spans="1:12" ht="22.5" x14ac:dyDescent="0.2">
      <c r="A28" s="21">
        <v>197</v>
      </c>
      <c r="B28" s="22">
        <v>483</v>
      </c>
      <c r="C28" s="23" t="s">
        <v>299</v>
      </c>
      <c r="D28" s="24">
        <v>67704999</v>
      </c>
      <c r="E28" s="25" t="s">
        <v>300</v>
      </c>
      <c r="F28" s="26">
        <v>45831</v>
      </c>
      <c r="G28" s="25">
        <v>3063641</v>
      </c>
      <c r="H28" s="23" t="s">
        <v>140</v>
      </c>
      <c r="I28" s="25" t="s">
        <v>141</v>
      </c>
      <c r="J28" s="27">
        <v>475</v>
      </c>
      <c r="K28" s="27">
        <v>460.22</v>
      </c>
      <c r="L28" s="27">
        <v>14.78</v>
      </c>
    </row>
    <row r="29" spans="1:12" ht="22.5" x14ac:dyDescent="0.2">
      <c r="A29" s="21">
        <v>198</v>
      </c>
      <c r="B29" s="22">
        <v>483</v>
      </c>
      <c r="C29" s="23" t="s">
        <v>299</v>
      </c>
      <c r="D29" s="24">
        <v>67704999</v>
      </c>
      <c r="E29" s="25" t="s">
        <v>300</v>
      </c>
      <c r="F29" s="26">
        <v>45804</v>
      </c>
      <c r="G29" s="25">
        <v>3075298</v>
      </c>
      <c r="H29" s="23" t="s">
        <v>157</v>
      </c>
      <c r="I29" s="25" t="s">
        <v>158</v>
      </c>
      <c r="J29" s="27">
        <v>51</v>
      </c>
      <c r="K29" s="27">
        <v>44.36</v>
      </c>
      <c r="L29" s="27">
        <v>6.64</v>
      </c>
    </row>
    <row r="30" spans="1:12" ht="22.5" x14ac:dyDescent="0.2">
      <c r="A30" s="21">
        <v>199</v>
      </c>
      <c r="B30" s="22">
        <v>483</v>
      </c>
      <c r="C30" s="23" t="s">
        <v>299</v>
      </c>
      <c r="D30" s="24">
        <v>67704999</v>
      </c>
      <c r="E30" s="25" t="s">
        <v>300</v>
      </c>
      <c r="F30" s="26">
        <v>45817</v>
      </c>
      <c r="G30" s="25">
        <v>3075298</v>
      </c>
      <c r="H30" s="23" t="s">
        <v>157</v>
      </c>
      <c r="I30" s="25" t="s">
        <v>158</v>
      </c>
      <c r="J30" s="27">
        <v>51</v>
      </c>
      <c r="K30" s="27">
        <v>44.36</v>
      </c>
      <c r="L30" s="27">
        <v>6.64</v>
      </c>
    </row>
    <row r="31" spans="1:12" ht="22.5" x14ac:dyDescent="0.2">
      <c r="A31" s="21">
        <v>200</v>
      </c>
      <c r="B31" s="22">
        <v>483</v>
      </c>
      <c r="C31" s="23" t="s">
        <v>299</v>
      </c>
      <c r="D31" s="24">
        <v>67704999</v>
      </c>
      <c r="E31" s="25" t="s">
        <v>300</v>
      </c>
      <c r="F31" s="26">
        <v>45825</v>
      </c>
      <c r="G31" s="25">
        <v>3075298</v>
      </c>
      <c r="H31" s="23" t="s">
        <v>157</v>
      </c>
      <c r="I31" s="25" t="s">
        <v>158</v>
      </c>
      <c r="J31" s="27">
        <v>51</v>
      </c>
      <c r="K31" s="27">
        <v>44.36</v>
      </c>
      <c r="L31" s="27">
        <v>6.64</v>
      </c>
    </row>
    <row r="32" spans="1:12" ht="22.5" x14ac:dyDescent="0.2">
      <c r="A32" s="21">
        <v>201</v>
      </c>
      <c r="B32" s="22">
        <v>483</v>
      </c>
      <c r="C32" s="23" t="s">
        <v>299</v>
      </c>
      <c r="D32" s="24">
        <v>67704999</v>
      </c>
      <c r="E32" s="25" t="s">
        <v>300</v>
      </c>
      <c r="F32" s="26">
        <v>45831</v>
      </c>
      <c r="G32" s="25">
        <v>3075298</v>
      </c>
      <c r="H32" s="23" t="s">
        <v>157</v>
      </c>
      <c r="I32" s="25" t="s">
        <v>158</v>
      </c>
      <c r="J32" s="27">
        <v>51</v>
      </c>
      <c r="K32" s="27">
        <v>44.36</v>
      </c>
      <c r="L32" s="27">
        <v>6.64</v>
      </c>
    </row>
    <row r="33" spans="1:12" x14ac:dyDescent="0.2">
      <c r="A33" s="21">
        <v>202</v>
      </c>
      <c r="B33" s="22">
        <v>483</v>
      </c>
      <c r="C33" s="23" t="s">
        <v>299</v>
      </c>
      <c r="D33" s="24">
        <v>67704999</v>
      </c>
      <c r="E33" s="25" t="s">
        <v>300</v>
      </c>
      <c r="F33" s="26">
        <v>45804</v>
      </c>
      <c r="G33" s="25">
        <v>3076544</v>
      </c>
      <c r="H33" s="23" t="s">
        <v>97</v>
      </c>
      <c r="I33" s="25" t="s">
        <v>98</v>
      </c>
      <c r="J33" s="27">
        <v>136</v>
      </c>
      <c r="K33" s="27">
        <v>129.66999999999999</v>
      </c>
      <c r="L33" s="27">
        <v>6.33</v>
      </c>
    </row>
    <row r="34" spans="1:12" x14ac:dyDescent="0.2">
      <c r="A34" s="21">
        <v>203</v>
      </c>
      <c r="B34" s="22">
        <v>483</v>
      </c>
      <c r="C34" s="23" t="s">
        <v>299</v>
      </c>
      <c r="D34" s="24">
        <v>67704999</v>
      </c>
      <c r="E34" s="25" t="s">
        <v>300</v>
      </c>
      <c r="F34" s="26">
        <v>45817</v>
      </c>
      <c r="G34" s="25">
        <v>3076544</v>
      </c>
      <c r="H34" s="23" t="s">
        <v>97</v>
      </c>
      <c r="I34" s="25" t="s">
        <v>98</v>
      </c>
      <c r="J34" s="27">
        <v>136</v>
      </c>
      <c r="K34" s="27">
        <v>129.66999999999999</v>
      </c>
      <c r="L34" s="27">
        <v>6.33</v>
      </c>
    </row>
    <row r="35" spans="1:12" x14ac:dyDescent="0.2">
      <c r="A35" s="21">
        <v>204</v>
      </c>
      <c r="B35" s="22">
        <v>483</v>
      </c>
      <c r="C35" s="23" t="s">
        <v>299</v>
      </c>
      <c r="D35" s="24">
        <v>67704999</v>
      </c>
      <c r="E35" s="25" t="s">
        <v>300</v>
      </c>
      <c r="F35" s="26">
        <v>45825</v>
      </c>
      <c r="G35" s="25">
        <v>3076544</v>
      </c>
      <c r="H35" s="23" t="s">
        <v>97</v>
      </c>
      <c r="I35" s="25" t="s">
        <v>98</v>
      </c>
      <c r="J35" s="27">
        <v>136</v>
      </c>
      <c r="K35" s="27">
        <v>129.66999999999999</v>
      </c>
      <c r="L35" s="27">
        <v>6.33</v>
      </c>
    </row>
    <row r="36" spans="1:12" x14ac:dyDescent="0.2">
      <c r="A36" s="21">
        <v>205</v>
      </c>
      <c r="B36" s="22">
        <v>483</v>
      </c>
      <c r="C36" s="23" t="s">
        <v>299</v>
      </c>
      <c r="D36" s="24">
        <v>67704999</v>
      </c>
      <c r="E36" s="25" t="s">
        <v>300</v>
      </c>
      <c r="F36" s="26">
        <v>45831</v>
      </c>
      <c r="G36" s="25">
        <v>3076544</v>
      </c>
      <c r="H36" s="23" t="s">
        <v>97</v>
      </c>
      <c r="I36" s="25" t="s">
        <v>98</v>
      </c>
      <c r="J36" s="27">
        <v>136</v>
      </c>
      <c r="K36" s="27">
        <v>129.66999999999999</v>
      </c>
      <c r="L36" s="27">
        <v>6.33</v>
      </c>
    </row>
    <row r="37" spans="1:12" ht="22.5" x14ac:dyDescent="0.2">
      <c r="A37" s="21">
        <v>206</v>
      </c>
      <c r="B37" s="22">
        <v>483</v>
      </c>
      <c r="C37" s="23" t="s">
        <v>299</v>
      </c>
      <c r="D37" s="24">
        <v>67704999</v>
      </c>
      <c r="E37" s="25" t="s">
        <v>300</v>
      </c>
      <c r="F37" s="26">
        <v>45804</v>
      </c>
      <c r="G37" s="25">
        <v>3079688</v>
      </c>
      <c r="H37" s="23" t="s">
        <v>142</v>
      </c>
      <c r="I37" s="25" t="s">
        <v>143</v>
      </c>
      <c r="J37" s="27">
        <v>107</v>
      </c>
      <c r="K37" s="27">
        <v>96.12</v>
      </c>
      <c r="L37" s="27">
        <v>10.88</v>
      </c>
    </row>
    <row r="38" spans="1:12" ht="22.5" x14ac:dyDescent="0.2">
      <c r="A38" s="21">
        <v>207</v>
      </c>
      <c r="B38" s="22">
        <v>483</v>
      </c>
      <c r="C38" s="23" t="s">
        <v>299</v>
      </c>
      <c r="D38" s="24">
        <v>67704999</v>
      </c>
      <c r="E38" s="25" t="s">
        <v>300</v>
      </c>
      <c r="F38" s="26">
        <v>45817</v>
      </c>
      <c r="G38" s="25">
        <v>3079688</v>
      </c>
      <c r="H38" s="23" t="s">
        <v>142</v>
      </c>
      <c r="I38" s="25" t="s">
        <v>143</v>
      </c>
      <c r="J38" s="27">
        <v>107</v>
      </c>
      <c r="K38" s="27">
        <v>96.12</v>
      </c>
      <c r="L38" s="27">
        <v>10.88</v>
      </c>
    </row>
    <row r="39" spans="1:12" ht="22.5" x14ac:dyDescent="0.2">
      <c r="A39" s="21">
        <v>208</v>
      </c>
      <c r="B39" s="22">
        <v>483</v>
      </c>
      <c r="C39" s="23" t="s">
        <v>299</v>
      </c>
      <c r="D39" s="24">
        <v>67704999</v>
      </c>
      <c r="E39" s="25" t="s">
        <v>300</v>
      </c>
      <c r="F39" s="26">
        <v>45825</v>
      </c>
      <c r="G39" s="25">
        <v>3079688</v>
      </c>
      <c r="H39" s="23" t="s">
        <v>142</v>
      </c>
      <c r="I39" s="25" t="s">
        <v>143</v>
      </c>
      <c r="J39" s="27">
        <v>107</v>
      </c>
      <c r="K39" s="27">
        <v>96.12</v>
      </c>
      <c r="L39" s="27">
        <v>10.88</v>
      </c>
    </row>
    <row r="40" spans="1:12" ht="22.5" x14ac:dyDescent="0.2">
      <c r="A40" s="21">
        <v>209</v>
      </c>
      <c r="B40" s="22">
        <v>483</v>
      </c>
      <c r="C40" s="23" t="s">
        <v>299</v>
      </c>
      <c r="D40" s="24">
        <v>67704999</v>
      </c>
      <c r="E40" s="25" t="s">
        <v>300</v>
      </c>
      <c r="F40" s="26">
        <v>45831</v>
      </c>
      <c r="G40" s="25">
        <v>3079688</v>
      </c>
      <c r="H40" s="23" t="s">
        <v>142</v>
      </c>
      <c r="I40" s="25" t="s">
        <v>143</v>
      </c>
      <c r="J40" s="27">
        <v>107</v>
      </c>
      <c r="K40" s="27">
        <v>96.12</v>
      </c>
      <c r="L40" s="27">
        <v>10.88</v>
      </c>
    </row>
    <row r="41" spans="1:12" ht="22.5" x14ac:dyDescent="0.2">
      <c r="A41" s="21">
        <v>210</v>
      </c>
      <c r="B41" s="22">
        <v>483</v>
      </c>
      <c r="C41" s="23" t="s">
        <v>299</v>
      </c>
      <c r="D41" s="24">
        <v>67704999</v>
      </c>
      <c r="E41" s="25" t="s">
        <v>300</v>
      </c>
      <c r="F41" s="26">
        <v>45812</v>
      </c>
      <c r="G41" s="25">
        <v>3086303</v>
      </c>
      <c r="H41" s="23" t="s">
        <v>52</v>
      </c>
      <c r="I41" s="25" t="s">
        <v>53</v>
      </c>
      <c r="J41" s="27">
        <v>87</v>
      </c>
      <c r="K41" s="27">
        <v>80.989999999999995</v>
      </c>
      <c r="L41" s="27">
        <v>6.01</v>
      </c>
    </row>
    <row r="42" spans="1:12" ht="22.5" x14ac:dyDescent="0.2">
      <c r="A42" s="21">
        <v>211</v>
      </c>
      <c r="B42" s="22">
        <v>483</v>
      </c>
      <c r="C42" s="23" t="s">
        <v>299</v>
      </c>
      <c r="D42" s="24">
        <v>67704999</v>
      </c>
      <c r="E42" s="25" t="s">
        <v>300</v>
      </c>
      <c r="F42" s="26">
        <v>45812</v>
      </c>
      <c r="G42" s="25">
        <v>3086428</v>
      </c>
      <c r="H42" s="23" t="s">
        <v>54</v>
      </c>
      <c r="I42" s="25" t="s">
        <v>55</v>
      </c>
      <c r="J42" s="27">
        <v>82</v>
      </c>
      <c r="K42" s="27">
        <v>73.59</v>
      </c>
      <c r="L42" s="27">
        <v>8.41</v>
      </c>
    </row>
    <row r="43" spans="1:12" ht="22.5" x14ac:dyDescent="0.2">
      <c r="A43" s="21">
        <v>212</v>
      </c>
      <c r="B43" s="22">
        <v>483</v>
      </c>
      <c r="C43" s="23" t="s">
        <v>299</v>
      </c>
      <c r="D43" s="24">
        <v>67704999</v>
      </c>
      <c r="E43" s="25" t="s">
        <v>300</v>
      </c>
      <c r="F43" s="26">
        <v>45812</v>
      </c>
      <c r="G43" s="25">
        <v>3088119</v>
      </c>
      <c r="H43" s="23" t="s">
        <v>107</v>
      </c>
      <c r="I43" s="25" t="s">
        <v>108</v>
      </c>
      <c r="J43" s="27">
        <v>62</v>
      </c>
      <c r="K43" s="27">
        <v>57.56</v>
      </c>
      <c r="L43" s="27">
        <v>4.4400000000000004</v>
      </c>
    </row>
    <row r="44" spans="1:12" ht="22.5" x14ac:dyDescent="0.2">
      <c r="A44" s="21">
        <v>213</v>
      </c>
      <c r="B44" s="22">
        <v>483</v>
      </c>
      <c r="C44" s="23" t="s">
        <v>299</v>
      </c>
      <c r="D44" s="24">
        <v>67704999</v>
      </c>
      <c r="E44" s="25" t="s">
        <v>300</v>
      </c>
      <c r="F44" s="26">
        <v>45812</v>
      </c>
      <c r="G44" s="25">
        <v>7301021</v>
      </c>
      <c r="H44" s="23" t="s">
        <v>56</v>
      </c>
      <c r="I44" s="25" t="s">
        <v>57</v>
      </c>
      <c r="J44" s="27">
        <v>189</v>
      </c>
      <c r="K44" s="27">
        <v>124.97</v>
      </c>
      <c r="L44" s="27">
        <v>64.03</v>
      </c>
    </row>
    <row r="45" spans="1:12" ht="22.5" x14ac:dyDescent="0.2">
      <c r="A45" s="21">
        <v>214</v>
      </c>
      <c r="B45" s="22">
        <v>483</v>
      </c>
      <c r="C45" s="23" t="s">
        <v>299</v>
      </c>
      <c r="D45" s="24">
        <v>67704999</v>
      </c>
      <c r="E45" s="25" t="s">
        <v>300</v>
      </c>
      <c r="F45" s="26">
        <v>45812</v>
      </c>
      <c r="G45" s="25">
        <v>7301021</v>
      </c>
      <c r="H45" s="23" t="s">
        <v>56</v>
      </c>
      <c r="I45" s="25" t="s">
        <v>57</v>
      </c>
      <c r="J45" s="27">
        <v>189</v>
      </c>
      <c r="K45" s="27">
        <v>124.97</v>
      </c>
      <c r="L45" s="27">
        <v>64.03</v>
      </c>
    </row>
    <row r="46" spans="1:12" ht="22.5" x14ac:dyDescent="0.2">
      <c r="A46" s="21">
        <v>215</v>
      </c>
      <c r="B46" s="22">
        <v>483</v>
      </c>
      <c r="C46" s="23" t="s">
        <v>299</v>
      </c>
      <c r="D46" s="24">
        <v>67704999</v>
      </c>
      <c r="E46" s="25" t="s">
        <v>300</v>
      </c>
      <c r="F46" s="26">
        <v>45817</v>
      </c>
      <c r="G46" s="25">
        <v>7634520</v>
      </c>
      <c r="H46" s="23" t="s">
        <v>301</v>
      </c>
      <c r="I46" s="25" t="s">
        <v>302</v>
      </c>
      <c r="J46" s="27">
        <v>214</v>
      </c>
      <c r="K46" s="27">
        <v>33.539999999999992</v>
      </c>
      <c r="L46" s="27">
        <v>180.46</v>
      </c>
    </row>
    <row r="47" spans="1:12" ht="22.5" x14ac:dyDescent="0.2">
      <c r="A47" s="21">
        <v>216</v>
      </c>
      <c r="B47" s="22">
        <v>483</v>
      </c>
      <c r="C47" s="23" t="s">
        <v>299</v>
      </c>
      <c r="D47" s="24">
        <v>67704999</v>
      </c>
      <c r="E47" s="25" t="s">
        <v>300</v>
      </c>
      <c r="F47" s="26">
        <v>45825</v>
      </c>
      <c r="G47" s="25">
        <v>7634520</v>
      </c>
      <c r="H47" s="23" t="s">
        <v>301</v>
      </c>
      <c r="I47" s="25" t="s">
        <v>302</v>
      </c>
      <c r="J47" s="27">
        <v>214</v>
      </c>
      <c r="K47" s="27">
        <v>33.539999999999992</v>
      </c>
      <c r="L47" s="27">
        <v>180.46</v>
      </c>
    </row>
    <row r="48" spans="1:12" ht="22.5" x14ac:dyDescent="0.2">
      <c r="A48" s="21">
        <v>217</v>
      </c>
      <c r="B48" s="22">
        <v>483</v>
      </c>
      <c r="C48" s="23" t="s">
        <v>299</v>
      </c>
      <c r="D48" s="24">
        <v>67704999</v>
      </c>
      <c r="E48" s="25" t="s">
        <v>300</v>
      </c>
      <c r="F48" s="26">
        <v>45831</v>
      </c>
      <c r="G48" s="25">
        <v>7634520</v>
      </c>
      <c r="H48" s="23" t="s">
        <v>301</v>
      </c>
      <c r="I48" s="25" t="s">
        <v>302</v>
      </c>
      <c r="J48" s="27">
        <v>214</v>
      </c>
      <c r="K48" s="27">
        <v>33.539999999999992</v>
      </c>
      <c r="L48" s="27">
        <v>180.46</v>
      </c>
    </row>
    <row r="49" spans="2:12" x14ac:dyDescent="0.2">
      <c r="B49" s="12"/>
      <c r="C49" s="28"/>
      <c r="D49" s="29"/>
      <c r="E49" s="12"/>
      <c r="F49" s="12"/>
      <c r="G49" s="12"/>
      <c r="H49" s="30"/>
      <c r="I49" s="30"/>
      <c r="J49" s="30"/>
      <c r="K49" s="11"/>
      <c r="L49" s="11"/>
    </row>
    <row r="50" spans="2:12" x14ac:dyDescent="0.2">
      <c r="B50" s="12"/>
      <c r="C50" s="28"/>
      <c r="D50" s="29"/>
      <c r="E50" s="15"/>
      <c r="F50" s="15"/>
      <c r="G50" s="15"/>
      <c r="H50" s="15"/>
      <c r="I50" s="30"/>
      <c r="J50" s="30"/>
      <c r="K50" s="11"/>
      <c r="L50" s="11"/>
    </row>
    <row r="51" spans="2:12" x14ac:dyDescent="0.2">
      <c r="B51" s="12"/>
      <c r="C51" s="28"/>
      <c r="D51" s="29"/>
      <c r="E51" s="12"/>
      <c r="F51" s="11"/>
      <c r="G51" s="11"/>
      <c r="H51" s="11"/>
      <c r="I51" s="30"/>
      <c r="J51" s="30"/>
      <c r="K51" s="11"/>
      <c r="L51" s="11"/>
    </row>
    <row r="52" spans="2:12" ht="13.5" thickBot="1" x14ac:dyDescent="0.25">
      <c r="B52" s="12"/>
      <c r="C52" s="28"/>
      <c r="D52" s="11" t="s">
        <v>62</v>
      </c>
      <c r="E52" s="31"/>
      <c r="F52" s="31"/>
      <c r="G52" s="31"/>
      <c r="H52" s="32"/>
      <c r="I52" s="11"/>
      <c r="J52" s="30"/>
      <c r="K52" s="11"/>
      <c r="L52" s="33">
        <v>842.82</v>
      </c>
    </row>
    <row r="53" spans="2:12" ht="13.5" thickTop="1" x14ac:dyDescent="0.2">
      <c r="B53" s="12"/>
      <c r="C53" s="28"/>
      <c r="D53" s="35"/>
      <c r="E53" s="31"/>
      <c r="F53" s="31"/>
      <c r="G53" s="31"/>
      <c r="H53" s="32"/>
      <c r="I53" s="11"/>
      <c r="J53" s="30"/>
      <c r="K53" s="11"/>
      <c r="L53" s="36"/>
    </row>
    <row r="57" spans="2:12" ht="59.65" customHeight="1" x14ac:dyDescent="0.25">
      <c r="C57"/>
      <c r="D57"/>
      <c r="E57"/>
      <c r="F57"/>
      <c r="G57"/>
      <c r="H57"/>
      <c r="I57"/>
      <c r="J57"/>
      <c r="K57"/>
    </row>
  </sheetData>
  <mergeCells count="4">
    <mergeCell ref="I14:J14"/>
    <mergeCell ref="B16:L16"/>
    <mergeCell ref="B17:L17"/>
    <mergeCell ref="J21:K21"/>
  </mergeCells>
  <dataValidations count="1">
    <dataValidation type="list" allowBlank="1" showInputMessage="1" showErrorMessage="1" sqref="C19:D19" xr:uid="{CA95CFB8-9D54-4CA0-93DB-B4CD3F0E5822}">
      <formula1>#REF!</formula1>
    </dataValidation>
  </dataValidations>
  <pageMargins left="0.25" right="0.25" top="0.5" bottom="0.5" header="0.3" footer="0.3"/>
  <pageSetup scale="94" fitToHeight="0" orientation="landscape" r:id="rId1"/>
  <headerFooter differentFirst="1">
    <oddFooter>&amp;L&amp;P</oddFooter>
    <firstFooter>&amp;L&amp;P&amp;C&amp;"Calibri,Bold"YOUR PROMPT PAYMENT WILL BE GREATLY APPRECIATED.
IF ANY OF THESE CLAIMS WERE BILLED IN ERROR, PLEASE EMAIL YVONNE AGUILAR  AT YVONNE.AGUILAR@BANNERHEALTH.COM, SO WE CAN BILL THE PATIENT IN A TIMELY MANNER.  THANK YOU.</firstFooter>
  </headerFooter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84A04-BE17-4EF4-96EC-35DEFDA2563B}">
  <sheetPr>
    <tabColor rgb="FFFFFF00"/>
    <pageSetUpPr fitToPage="1"/>
  </sheetPr>
  <dimension ref="A1:O43"/>
  <sheetViews>
    <sheetView topLeftCell="B1" zoomScaleNormal="100" workbookViewId="0">
      <selection activeCell="G2" sqref="G2"/>
    </sheetView>
  </sheetViews>
  <sheetFormatPr defaultColWidth="8.85546875" defaultRowHeight="12.75" x14ac:dyDescent="0.2"/>
  <cols>
    <col min="1" max="1" width="8.85546875" style="2" hidden="1" customWidth="1"/>
    <col min="2" max="2" width="13.28515625" style="2" customWidth="1"/>
    <col min="3" max="3" width="14.5703125" style="2" customWidth="1"/>
    <col min="4" max="4" width="14" style="2" customWidth="1"/>
    <col min="5" max="5" width="18.42578125" style="2" customWidth="1"/>
    <col min="6" max="7" width="11.42578125" style="2" customWidth="1"/>
    <col min="8" max="8" width="8.85546875" style="2"/>
    <col min="9" max="9" width="19.7109375" style="2" customWidth="1"/>
    <col min="10" max="10" width="10.28515625" style="2" customWidth="1"/>
    <col min="11" max="11" width="11.85546875" style="2" customWidth="1"/>
    <col min="12" max="12" width="9.5703125" style="2" customWidth="1"/>
    <col min="13" max="16384" width="8.85546875" style="2"/>
  </cols>
  <sheetData>
    <row r="1" spans="2:12" x14ac:dyDescent="0.2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x14ac:dyDescent="0.2">
      <c r="B2" s="1"/>
      <c r="C2" s="1"/>
      <c r="D2" s="1"/>
      <c r="E2" s="1"/>
      <c r="F2" s="1"/>
      <c r="G2" s="37" t="s">
        <v>311</v>
      </c>
      <c r="H2" s="1"/>
      <c r="I2" s="3" t="s">
        <v>0</v>
      </c>
      <c r="J2" s="4" t="s">
        <v>303</v>
      </c>
      <c r="K2" s="1"/>
      <c r="L2" s="1"/>
    </row>
    <row r="3" spans="2:12" x14ac:dyDescent="0.2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2:12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2:12" x14ac:dyDescent="0.2"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2:12" ht="4.9000000000000004" customHeight="1" x14ac:dyDescent="0.2"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2:12" x14ac:dyDescent="0.2">
      <c r="B7" s="3" t="s">
        <v>2</v>
      </c>
      <c r="C7" s="1"/>
      <c r="D7" s="1"/>
      <c r="E7" s="1"/>
      <c r="F7" s="1"/>
      <c r="G7" s="1"/>
      <c r="H7" s="1"/>
      <c r="I7" s="5" t="s">
        <v>3</v>
      </c>
      <c r="J7" s="1"/>
      <c r="K7" s="1"/>
      <c r="L7" s="1"/>
    </row>
    <row r="8" spans="2:12" x14ac:dyDescent="0.2">
      <c r="B8" s="3" t="s">
        <v>4</v>
      </c>
      <c r="C8" s="1"/>
      <c r="D8" s="1"/>
      <c r="E8" s="1"/>
      <c r="F8" s="1"/>
      <c r="G8" s="1"/>
      <c r="H8" s="1"/>
      <c r="I8" s="3" t="s">
        <v>5</v>
      </c>
      <c r="J8" s="1"/>
      <c r="K8" s="1"/>
      <c r="L8" s="1"/>
    </row>
    <row r="9" spans="2:12" x14ac:dyDescent="0.2">
      <c r="B9" s="3" t="s">
        <v>6</v>
      </c>
      <c r="C9" s="1"/>
      <c r="D9" s="1"/>
      <c r="E9" s="1"/>
      <c r="F9" s="1"/>
      <c r="G9" s="1"/>
      <c r="H9" s="1"/>
      <c r="I9" s="3" t="s">
        <v>7</v>
      </c>
      <c r="J9" s="1"/>
      <c r="K9" s="1"/>
      <c r="L9" s="1"/>
    </row>
    <row r="10" spans="2:12" x14ac:dyDescent="0.2">
      <c r="B10" s="3" t="s">
        <v>8</v>
      </c>
      <c r="C10" s="1"/>
      <c r="D10" s="1"/>
      <c r="E10" s="1"/>
      <c r="F10" s="1"/>
      <c r="G10" s="1"/>
      <c r="H10" s="1"/>
      <c r="I10" s="6" t="s">
        <v>9</v>
      </c>
      <c r="J10" s="1"/>
      <c r="K10" s="1"/>
      <c r="L10" s="1"/>
    </row>
    <row r="11" spans="2:12" x14ac:dyDescent="0.2">
      <c r="B11" s="3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2:12" x14ac:dyDescent="0.2">
      <c r="B12" s="3" t="s">
        <v>11</v>
      </c>
      <c r="C12" s="1"/>
      <c r="D12" s="1"/>
      <c r="E12" s="1"/>
      <c r="F12" s="1"/>
      <c r="G12" s="1"/>
      <c r="H12" s="1"/>
      <c r="I12" s="6" t="s">
        <v>12</v>
      </c>
      <c r="J12" s="6" t="s">
        <v>13</v>
      </c>
      <c r="K12" s="6"/>
      <c r="L12" s="1"/>
    </row>
    <row r="13" spans="2:12" ht="4.1500000000000004" customHeight="1" thickBot="1" x14ac:dyDescent="0.25">
      <c r="B13" s="3"/>
      <c r="C13" s="1"/>
      <c r="D13" s="1"/>
      <c r="E13" s="1"/>
      <c r="F13" s="6"/>
      <c r="G13" s="6"/>
      <c r="H13" s="6"/>
      <c r="I13" s="1"/>
      <c r="J13" s="1"/>
      <c r="K13" s="1"/>
      <c r="L13" s="1"/>
    </row>
    <row r="14" spans="2:12" ht="13.5" thickBot="1" x14ac:dyDescent="0.25">
      <c r="B14" s="7"/>
      <c r="C14" s="1"/>
      <c r="D14" s="1"/>
      <c r="E14" s="1"/>
      <c r="F14" s="1"/>
      <c r="G14" s="1"/>
      <c r="H14" s="1"/>
      <c r="I14" s="44" t="s">
        <v>14</v>
      </c>
      <c r="J14" s="45"/>
      <c r="K14" s="8" t="s">
        <v>15</v>
      </c>
      <c r="L14" s="9"/>
    </row>
    <row r="15" spans="2:12" ht="6" customHeight="1" thickBot="1" x14ac:dyDescent="0.25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2:12" ht="19.7" customHeight="1" thickTop="1" x14ac:dyDescent="0.2">
      <c r="B16" s="46" t="s">
        <v>16</v>
      </c>
      <c r="C16" s="46"/>
      <c r="D16" s="46"/>
      <c r="E16" s="46"/>
      <c r="F16" s="46"/>
      <c r="G16" s="46"/>
      <c r="H16" s="46"/>
      <c r="I16" s="46"/>
      <c r="J16" s="46"/>
      <c r="K16" s="46"/>
      <c r="L16" s="46"/>
    </row>
    <row r="17" spans="1:15" ht="15.6" customHeight="1" x14ac:dyDescent="0.2">
      <c r="B17" s="47">
        <v>45838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</row>
    <row r="18" spans="1:15" x14ac:dyDescent="0.2">
      <c r="B18" s="11" t="s">
        <v>17</v>
      </c>
      <c r="C18" s="11"/>
      <c r="D18" s="11"/>
      <c r="E18" s="12"/>
      <c r="F18" s="11"/>
      <c r="G18" s="11"/>
      <c r="H18" s="11"/>
      <c r="I18" s="1"/>
      <c r="J18" s="11"/>
      <c r="K18" s="11"/>
      <c r="L18" s="11"/>
    </row>
    <row r="19" spans="1:15" x14ac:dyDescent="0.2">
      <c r="A19" s="2" t="s">
        <v>18</v>
      </c>
      <c r="B19" s="11" t="s">
        <v>19</v>
      </c>
      <c r="C19" s="14" t="s">
        <v>304</v>
      </c>
      <c r="D19" s="11"/>
      <c r="E19" s="12"/>
      <c r="F19" s="1"/>
      <c r="G19" s="1"/>
      <c r="H19" s="1"/>
      <c r="I19" s="1"/>
      <c r="J19" s="1"/>
      <c r="K19" s="1"/>
      <c r="L19" s="11"/>
    </row>
    <row r="20" spans="1:15" ht="13.5" thickBot="1" x14ac:dyDescent="0.25">
      <c r="A20" s="2">
        <v>10</v>
      </c>
      <c r="B20" s="11" t="s">
        <v>21</v>
      </c>
      <c r="C20" s="14">
        <v>2108097176</v>
      </c>
      <c r="D20" s="11"/>
      <c r="E20" s="12"/>
      <c r="F20" s="15"/>
      <c r="G20" s="15"/>
      <c r="H20" s="16"/>
      <c r="I20" s="16"/>
      <c r="J20" s="11"/>
      <c r="K20" s="11"/>
      <c r="L20" s="11"/>
    </row>
    <row r="21" spans="1:15" ht="13.9" customHeight="1" thickBot="1" x14ac:dyDescent="0.25">
      <c r="A21" s="2" t="s">
        <v>22</v>
      </c>
      <c r="B21" s="11" t="s">
        <v>23</v>
      </c>
      <c r="C21" s="14">
        <v>4257580</v>
      </c>
      <c r="E21" s="12"/>
      <c r="F21" s="15"/>
      <c r="G21" s="15"/>
      <c r="H21" s="16"/>
      <c r="I21" s="17" t="s">
        <v>24</v>
      </c>
      <c r="J21" s="52" t="s">
        <v>25</v>
      </c>
      <c r="K21" s="49"/>
      <c r="L21" s="11"/>
    </row>
    <row r="22" spans="1:15" x14ac:dyDescent="0.2">
      <c r="A22" s="2">
        <v>0</v>
      </c>
      <c r="B22" s="11" t="s">
        <v>26</v>
      </c>
      <c r="C22" s="14" t="s">
        <v>150</v>
      </c>
      <c r="D22" s="11"/>
      <c r="E22" s="12"/>
      <c r="F22" s="12"/>
      <c r="G22" s="12"/>
      <c r="H22" s="11"/>
      <c r="I22" s="11"/>
      <c r="J22" s="11"/>
      <c r="K22" s="11"/>
      <c r="L22" s="11"/>
    </row>
    <row r="23" spans="1:15" ht="4.1500000000000004" customHeight="1" x14ac:dyDescent="0.2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</row>
    <row r="24" spans="1:15" s="20" customFormat="1" ht="22.5" x14ac:dyDescent="0.2">
      <c r="A24" s="18" t="s">
        <v>28</v>
      </c>
      <c r="B24" s="19" t="s">
        <v>29</v>
      </c>
      <c r="C24" s="19" t="s">
        <v>30</v>
      </c>
      <c r="D24" s="19" t="s">
        <v>31</v>
      </c>
      <c r="E24" s="19" t="s">
        <v>32</v>
      </c>
      <c r="F24" s="19" t="s">
        <v>33</v>
      </c>
      <c r="G24" s="19" t="s">
        <v>34</v>
      </c>
      <c r="H24" s="19" t="s">
        <v>35</v>
      </c>
      <c r="I24" s="19" t="s">
        <v>36</v>
      </c>
      <c r="J24" s="19" t="s">
        <v>37</v>
      </c>
      <c r="K24" s="19" t="s">
        <v>38</v>
      </c>
      <c r="L24" s="19" t="s">
        <v>39</v>
      </c>
    </row>
    <row r="25" spans="1:15" ht="22.5" x14ac:dyDescent="0.2">
      <c r="A25" s="21">
        <v>759</v>
      </c>
      <c r="B25" s="22">
        <v>483</v>
      </c>
      <c r="C25" s="23" t="s">
        <v>305</v>
      </c>
      <c r="D25" s="24">
        <v>67741256</v>
      </c>
      <c r="E25" s="25" t="s">
        <v>306</v>
      </c>
      <c r="F25" s="26">
        <v>45807</v>
      </c>
      <c r="G25" s="25">
        <v>3073061</v>
      </c>
      <c r="H25" s="23" t="s">
        <v>42</v>
      </c>
      <c r="I25" s="25" t="s">
        <v>43</v>
      </c>
      <c r="J25" s="27">
        <v>66</v>
      </c>
      <c r="K25" s="27">
        <v>58.8</v>
      </c>
      <c r="L25" s="27">
        <v>7.2</v>
      </c>
      <c r="N25" s="34"/>
      <c r="O25" s="34"/>
    </row>
    <row r="26" spans="1:15" ht="22.5" x14ac:dyDescent="0.2">
      <c r="A26" s="21">
        <v>760</v>
      </c>
      <c r="B26" s="22">
        <v>483</v>
      </c>
      <c r="C26" s="23" t="s">
        <v>305</v>
      </c>
      <c r="D26" s="24">
        <v>67741256</v>
      </c>
      <c r="E26" s="25" t="s">
        <v>306</v>
      </c>
      <c r="F26" s="26">
        <v>45828</v>
      </c>
      <c r="G26" s="25">
        <v>3073061</v>
      </c>
      <c r="H26" s="23" t="s">
        <v>42</v>
      </c>
      <c r="I26" s="25" t="s">
        <v>43</v>
      </c>
      <c r="J26" s="27">
        <v>66</v>
      </c>
      <c r="K26" s="27">
        <v>58.8</v>
      </c>
      <c r="L26" s="27">
        <v>7.2</v>
      </c>
      <c r="N26" s="34"/>
      <c r="O26" s="34"/>
    </row>
    <row r="27" spans="1:15" ht="22.5" x14ac:dyDescent="0.2">
      <c r="A27" s="21">
        <v>761</v>
      </c>
      <c r="B27" s="22">
        <v>483</v>
      </c>
      <c r="C27" s="23" t="s">
        <v>305</v>
      </c>
      <c r="D27" s="24">
        <v>67741256</v>
      </c>
      <c r="E27" s="25" t="s">
        <v>306</v>
      </c>
      <c r="F27" s="26">
        <v>45807</v>
      </c>
      <c r="G27" s="25">
        <v>3076254</v>
      </c>
      <c r="H27" s="23" t="s">
        <v>46</v>
      </c>
      <c r="I27" s="25" t="s">
        <v>47</v>
      </c>
      <c r="J27" s="27">
        <v>93</v>
      </c>
      <c r="K27" s="27">
        <v>83.98</v>
      </c>
      <c r="L27" s="27">
        <v>9.02</v>
      </c>
      <c r="N27" s="34"/>
      <c r="O27" s="34"/>
    </row>
    <row r="28" spans="1:15" ht="22.5" x14ac:dyDescent="0.2">
      <c r="A28" s="21">
        <v>762</v>
      </c>
      <c r="B28" s="22">
        <v>483</v>
      </c>
      <c r="C28" s="23" t="s">
        <v>305</v>
      </c>
      <c r="D28" s="24">
        <v>67741256</v>
      </c>
      <c r="E28" s="25" t="s">
        <v>306</v>
      </c>
      <c r="F28" s="26">
        <v>45828</v>
      </c>
      <c r="G28" s="25">
        <v>3076254</v>
      </c>
      <c r="H28" s="23" t="s">
        <v>46</v>
      </c>
      <c r="I28" s="25" t="s">
        <v>47</v>
      </c>
      <c r="J28" s="27">
        <v>93</v>
      </c>
      <c r="K28" s="27">
        <v>83.98</v>
      </c>
      <c r="L28" s="27">
        <v>9.02</v>
      </c>
      <c r="N28" s="34"/>
      <c r="O28" s="34"/>
    </row>
    <row r="29" spans="1:15" ht="33.75" x14ac:dyDescent="0.2">
      <c r="A29" s="21">
        <v>763</v>
      </c>
      <c r="B29" s="22">
        <v>483</v>
      </c>
      <c r="C29" s="23" t="s">
        <v>305</v>
      </c>
      <c r="D29" s="24">
        <v>67741256</v>
      </c>
      <c r="E29" s="25" t="s">
        <v>306</v>
      </c>
      <c r="F29" s="26">
        <v>45807</v>
      </c>
      <c r="G29" s="25">
        <v>3076411</v>
      </c>
      <c r="H29" s="23" t="s">
        <v>159</v>
      </c>
      <c r="I29" s="25" t="s">
        <v>160</v>
      </c>
      <c r="J29" s="27">
        <v>94</v>
      </c>
      <c r="K29" s="27">
        <v>77.06</v>
      </c>
      <c r="L29" s="27">
        <v>16.940000000000001</v>
      </c>
      <c r="N29" s="34"/>
      <c r="O29" s="34"/>
    </row>
    <row r="30" spans="1:15" ht="33.75" x14ac:dyDescent="0.2">
      <c r="A30" s="21">
        <v>764</v>
      </c>
      <c r="B30" s="22">
        <v>483</v>
      </c>
      <c r="C30" s="23" t="s">
        <v>305</v>
      </c>
      <c r="D30" s="24">
        <v>67741256</v>
      </c>
      <c r="E30" s="25" t="s">
        <v>306</v>
      </c>
      <c r="F30" s="26">
        <v>45828</v>
      </c>
      <c r="G30" s="25">
        <v>3076411</v>
      </c>
      <c r="H30" s="23" t="s">
        <v>159</v>
      </c>
      <c r="I30" s="25" t="s">
        <v>160</v>
      </c>
      <c r="J30" s="27">
        <v>94</v>
      </c>
      <c r="K30" s="27">
        <v>77.06</v>
      </c>
      <c r="L30" s="27">
        <v>16.940000000000001</v>
      </c>
      <c r="N30" s="34"/>
      <c r="O30" s="34"/>
    </row>
    <row r="31" spans="1:15" ht="33.75" x14ac:dyDescent="0.2">
      <c r="A31" s="21">
        <v>765</v>
      </c>
      <c r="B31" s="22">
        <v>483</v>
      </c>
      <c r="C31" s="23" t="s">
        <v>305</v>
      </c>
      <c r="D31" s="24">
        <v>67741256</v>
      </c>
      <c r="E31" s="25" t="s">
        <v>306</v>
      </c>
      <c r="F31" s="26">
        <v>45807</v>
      </c>
      <c r="G31" s="25">
        <v>3076486</v>
      </c>
      <c r="H31" s="23" t="s">
        <v>48</v>
      </c>
      <c r="I31" s="25" t="s">
        <v>49</v>
      </c>
      <c r="J31" s="27">
        <v>124</v>
      </c>
      <c r="K31" s="27">
        <v>107.2</v>
      </c>
      <c r="L31" s="27">
        <v>16.8</v>
      </c>
      <c r="N31" s="34"/>
      <c r="O31" s="34"/>
    </row>
    <row r="32" spans="1:15" ht="33.75" x14ac:dyDescent="0.2">
      <c r="A32" s="21">
        <v>766</v>
      </c>
      <c r="B32" s="22">
        <v>483</v>
      </c>
      <c r="C32" s="23" t="s">
        <v>305</v>
      </c>
      <c r="D32" s="24">
        <v>67741256</v>
      </c>
      <c r="E32" s="25" t="s">
        <v>306</v>
      </c>
      <c r="F32" s="26">
        <v>45828</v>
      </c>
      <c r="G32" s="25">
        <v>3076486</v>
      </c>
      <c r="H32" s="23" t="s">
        <v>48</v>
      </c>
      <c r="I32" s="25" t="s">
        <v>49</v>
      </c>
      <c r="J32" s="27">
        <v>124</v>
      </c>
      <c r="K32" s="27">
        <v>107.2</v>
      </c>
      <c r="L32" s="27">
        <v>16.8</v>
      </c>
      <c r="N32" s="34"/>
      <c r="O32" s="34"/>
    </row>
    <row r="33" spans="1:15" ht="22.5" x14ac:dyDescent="0.2">
      <c r="A33" s="21">
        <v>767</v>
      </c>
      <c r="B33" s="22">
        <v>483</v>
      </c>
      <c r="C33" s="23" t="s">
        <v>305</v>
      </c>
      <c r="D33" s="24">
        <v>67741256</v>
      </c>
      <c r="E33" s="25" t="s">
        <v>306</v>
      </c>
      <c r="F33" s="26">
        <v>45807</v>
      </c>
      <c r="G33" s="25">
        <v>7301021</v>
      </c>
      <c r="H33" s="23" t="s">
        <v>56</v>
      </c>
      <c r="I33" s="25" t="s">
        <v>57</v>
      </c>
      <c r="J33" s="27">
        <v>189</v>
      </c>
      <c r="K33" s="27">
        <v>143.26</v>
      </c>
      <c r="L33" s="27">
        <v>45.74</v>
      </c>
      <c r="N33" s="34"/>
      <c r="O33" s="34"/>
    </row>
    <row r="34" spans="1:15" ht="22.5" x14ac:dyDescent="0.2">
      <c r="A34" s="21">
        <v>768</v>
      </c>
      <c r="B34" s="22">
        <v>483</v>
      </c>
      <c r="C34" s="23" t="s">
        <v>305</v>
      </c>
      <c r="D34" s="24">
        <v>67741256</v>
      </c>
      <c r="E34" s="25" t="s">
        <v>306</v>
      </c>
      <c r="F34" s="26">
        <v>45828</v>
      </c>
      <c r="G34" s="25">
        <v>7301021</v>
      </c>
      <c r="H34" s="23" t="s">
        <v>56</v>
      </c>
      <c r="I34" s="25" t="s">
        <v>57</v>
      </c>
      <c r="J34" s="27">
        <v>189</v>
      </c>
      <c r="K34" s="27">
        <v>143.26</v>
      </c>
      <c r="L34" s="27">
        <v>45.74</v>
      </c>
      <c r="N34" s="34"/>
      <c r="O34" s="34"/>
    </row>
    <row r="35" spans="1:15" x14ac:dyDescent="0.2">
      <c r="B35" s="12"/>
      <c r="C35" s="28"/>
      <c r="D35" s="29"/>
      <c r="E35" s="12"/>
      <c r="F35" s="12"/>
      <c r="G35" s="12"/>
      <c r="H35" s="30"/>
      <c r="I35" s="30"/>
      <c r="J35" s="30"/>
      <c r="K35" s="36"/>
      <c r="L35" s="11"/>
    </row>
    <row r="36" spans="1:15" x14ac:dyDescent="0.2">
      <c r="B36" s="12"/>
      <c r="C36" s="28"/>
      <c r="D36" s="29"/>
      <c r="E36" s="15"/>
      <c r="F36" s="15"/>
      <c r="G36" s="15"/>
      <c r="H36" s="15"/>
      <c r="I36" s="30"/>
      <c r="J36" s="30"/>
      <c r="K36" s="11"/>
      <c r="L36" s="11"/>
    </row>
    <row r="37" spans="1:15" x14ac:dyDescent="0.2">
      <c r="B37" s="12"/>
      <c r="C37" s="28"/>
      <c r="D37" s="29"/>
      <c r="E37" s="12"/>
      <c r="F37" s="11"/>
      <c r="G37" s="11"/>
      <c r="H37" s="11"/>
      <c r="I37" s="30"/>
      <c r="J37" s="30"/>
      <c r="K37" s="11"/>
      <c r="L37" s="11"/>
    </row>
    <row r="38" spans="1:15" ht="13.5" thickBot="1" x14ac:dyDescent="0.25">
      <c r="B38" s="12"/>
      <c r="C38" s="28"/>
      <c r="D38" s="11" t="s">
        <v>62</v>
      </c>
      <c r="E38" s="31"/>
      <c r="F38" s="31"/>
      <c r="G38" s="31"/>
      <c r="H38" s="32"/>
      <c r="I38" s="11"/>
      <c r="J38" s="30"/>
      <c r="K38" s="11"/>
      <c r="L38" s="33">
        <v>191.4</v>
      </c>
    </row>
    <row r="39" spans="1:15" ht="13.5" thickTop="1" x14ac:dyDescent="0.2">
      <c r="B39" s="12"/>
      <c r="C39" s="28"/>
      <c r="D39" s="35"/>
      <c r="E39" s="31"/>
      <c r="F39" s="31"/>
      <c r="G39" s="31"/>
      <c r="H39" s="32"/>
      <c r="I39" s="11"/>
      <c r="J39" s="30"/>
      <c r="K39" s="11"/>
      <c r="L39" s="36"/>
    </row>
    <row r="43" spans="1:15" ht="59.65" customHeight="1" x14ac:dyDescent="0.25">
      <c r="C43"/>
      <c r="D43"/>
      <c r="E43"/>
      <c r="F43"/>
      <c r="G43"/>
      <c r="H43"/>
      <c r="I43"/>
      <c r="J43"/>
      <c r="K43"/>
    </row>
  </sheetData>
  <mergeCells count="4">
    <mergeCell ref="I14:J14"/>
    <mergeCell ref="B16:L16"/>
    <mergeCell ref="B17:L17"/>
    <mergeCell ref="J21:K21"/>
  </mergeCells>
  <dataValidations count="1">
    <dataValidation type="list" allowBlank="1" showInputMessage="1" showErrorMessage="1" sqref="C19:D19" xr:uid="{E2AFACAB-B8F3-4CE0-913B-DC7C6724534E}">
      <formula1>#REF!</formula1>
    </dataValidation>
  </dataValidations>
  <pageMargins left="0.25" right="0.25" top="0.5" bottom="0.5" header="0.3" footer="0.3"/>
  <pageSetup scale="94" fitToHeight="0" orientation="landscape" r:id="rId1"/>
  <headerFooter differentFirst="1">
    <oddFooter>&amp;L&amp;P</oddFooter>
    <firstFooter>&amp;L&amp;P&amp;C&amp;"Calibri,Bold"YOUR PROMPT PAYMENT WILL BE GREATLY APPRECIATED.
IF ANY OF THESE CLAIMS WERE BILLED IN ERROR, PLEASE EMAIL YVONNE AGUILAR  AT YVONNE.AGUILAR@BANNERHEALTH.COM, SO WE CAN BILL THE PATIENT IN A TIMELY MANNER.  THANK YOU.</first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54</vt:i4>
      </vt:variant>
    </vt:vector>
  </HeadingPairs>
  <TitlesOfParts>
    <vt:vector size="82" baseType="lpstr">
      <vt:lpstr>1463-0001</vt:lpstr>
      <vt:lpstr>64407564MMY300</vt:lpstr>
      <vt:lpstr>ABK-CA-PROT-85</vt:lpstr>
      <vt:lpstr>AV-299-23-301</vt:lpstr>
      <vt:lpstr>BC-IMT-04</vt:lpstr>
      <vt:lpstr>BGB-16673</vt:lpstr>
      <vt:lpstr>CL04-ORY-1001</vt:lpstr>
      <vt:lpstr>D361DC00001 C</vt:lpstr>
      <vt:lpstr>D9103C00001</vt:lpstr>
      <vt:lpstr>DEK-DKK1-P207</vt:lpstr>
      <vt:lpstr>EA6192</vt:lpstr>
      <vt:lpstr>FLM-6774-201</vt:lpstr>
      <vt:lpstr>GOG-3041</vt:lpstr>
      <vt:lpstr>HC366-RCC2311</vt:lpstr>
      <vt:lpstr>HCRN BRE20-468</vt:lpstr>
      <vt:lpstr>IMMU-132-06</vt:lpstr>
      <vt:lpstr>M20-431</vt:lpstr>
      <vt:lpstr>MK3475-U06</vt:lpstr>
      <vt:lpstr>MK-5684-004</vt:lpstr>
      <vt:lpstr>mRNA-4157-P201</vt:lpstr>
      <vt:lpstr>OP-1250-301; O</vt:lpstr>
      <vt:lpstr>PRISM-1</vt:lpstr>
      <vt:lpstr>R5678-ONC-1879</vt:lpstr>
      <vt:lpstr>RBS2418-1001</vt:lpstr>
      <vt:lpstr>RLY-2608-101</vt:lpstr>
      <vt:lpstr>SMX 22-002</vt:lpstr>
      <vt:lpstr>VX0120</vt:lpstr>
      <vt:lpstr>XL184-IST103</vt:lpstr>
      <vt:lpstr>'1463-0001'!Print_Area</vt:lpstr>
      <vt:lpstr>'64407564MMY300'!Print_Area</vt:lpstr>
      <vt:lpstr>'ABK-CA-PROT-85'!Print_Area</vt:lpstr>
      <vt:lpstr>'AV-299-23-301'!Print_Area</vt:lpstr>
      <vt:lpstr>'BC-IMT-04'!Print_Area</vt:lpstr>
      <vt:lpstr>'BGB-16673'!Print_Area</vt:lpstr>
      <vt:lpstr>'CL04-ORY-1001'!Print_Area</vt:lpstr>
      <vt:lpstr>'D361DC00001 C'!Print_Area</vt:lpstr>
      <vt:lpstr>D9103C00001!Print_Area</vt:lpstr>
      <vt:lpstr>'DEK-DKK1-P207'!Print_Area</vt:lpstr>
      <vt:lpstr>'EA6192'!Print_Area</vt:lpstr>
      <vt:lpstr>'FLM-6774-201'!Print_Area</vt:lpstr>
      <vt:lpstr>'GOG-3041'!Print_Area</vt:lpstr>
      <vt:lpstr>'HC366-RCC2311'!Print_Area</vt:lpstr>
      <vt:lpstr>'HCRN BRE20-468'!Print_Area</vt:lpstr>
      <vt:lpstr>'IMMU-132-06'!Print_Area</vt:lpstr>
      <vt:lpstr>'M20-431'!Print_Area</vt:lpstr>
      <vt:lpstr>'MK3475-U06'!Print_Area</vt:lpstr>
      <vt:lpstr>'MK-5684-004'!Print_Area</vt:lpstr>
      <vt:lpstr>'mRNA-4157-P201'!Print_Area</vt:lpstr>
      <vt:lpstr>'OP-1250-301; O'!Print_Area</vt:lpstr>
      <vt:lpstr>'PRISM-1'!Print_Area</vt:lpstr>
      <vt:lpstr>'R5678-ONC-1879'!Print_Area</vt:lpstr>
      <vt:lpstr>'RBS2418-1001'!Print_Area</vt:lpstr>
      <vt:lpstr>'RLY-2608-101'!Print_Area</vt:lpstr>
      <vt:lpstr>'SMX 22-002'!Print_Area</vt:lpstr>
      <vt:lpstr>'VX0120'!Print_Area</vt:lpstr>
      <vt:lpstr>'XL184-IST103'!Print_Area</vt:lpstr>
      <vt:lpstr>'1463-0001'!Print_Titles</vt:lpstr>
      <vt:lpstr>'64407564MMY300'!Print_Titles</vt:lpstr>
      <vt:lpstr>'ABK-CA-PROT-85'!Print_Titles</vt:lpstr>
      <vt:lpstr>'AV-299-23-301'!Print_Titles</vt:lpstr>
      <vt:lpstr>'BC-IMT-04'!Print_Titles</vt:lpstr>
      <vt:lpstr>'BGB-16673'!Print_Titles</vt:lpstr>
      <vt:lpstr>'D361DC00001 C'!Print_Titles</vt:lpstr>
      <vt:lpstr>D9103C00001!Print_Titles</vt:lpstr>
      <vt:lpstr>'EA6192'!Print_Titles</vt:lpstr>
      <vt:lpstr>'FLM-6774-201'!Print_Titles</vt:lpstr>
      <vt:lpstr>'GOG-3041'!Print_Titles</vt:lpstr>
      <vt:lpstr>'HC366-RCC2311'!Print_Titles</vt:lpstr>
      <vt:lpstr>'HCRN BRE20-468'!Print_Titles</vt:lpstr>
      <vt:lpstr>'IMMU-132-06'!Print_Titles</vt:lpstr>
      <vt:lpstr>'M20-431'!Print_Titles</vt:lpstr>
      <vt:lpstr>'MK3475-U06'!Print_Titles</vt:lpstr>
      <vt:lpstr>'MK-5684-004'!Print_Titles</vt:lpstr>
      <vt:lpstr>'mRNA-4157-P201'!Print_Titles</vt:lpstr>
      <vt:lpstr>'OP-1250-301; O'!Print_Titles</vt:lpstr>
      <vt:lpstr>'PRISM-1'!Print_Titles</vt:lpstr>
      <vt:lpstr>'R5678-ONC-1879'!Print_Titles</vt:lpstr>
      <vt:lpstr>'RBS2418-1001'!Print_Titles</vt:lpstr>
      <vt:lpstr>'RLY-2608-101'!Print_Titles</vt:lpstr>
      <vt:lpstr>'SMX 22-002'!Print_Titles</vt:lpstr>
      <vt:lpstr>'VX0120'!Print_Titles</vt:lpstr>
      <vt:lpstr>'XL184-IST103'!Print_Titles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Keefe, Caitlyn Leigh - (caitlynkeefe124)</dc:creator>
  <cp:lastModifiedBy>Kristi Lenae Davis</cp:lastModifiedBy>
  <dcterms:created xsi:type="dcterms:W3CDTF">2025-08-07T17:44:02Z</dcterms:created>
  <dcterms:modified xsi:type="dcterms:W3CDTF">2025-12-11T21:55:31Z</dcterms:modified>
</cp:coreProperties>
</file>