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63333498060/WOPIServiceId_TP_BOX_2/WOPIUserId_-/"/>
    </mc:Choice>
  </mc:AlternateContent>
  <xr:revisionPtr revIDLastSave="155" documentId="8_{273890D5-23E5-4716-AE82-4F11397255CE}" xr6:coauthVersionLast="47" xr6:coauthVersionMax="47" xr10:uidLastSave="{CBA0D3CB-D479-4835-9DEA-50B020D0C238}"/>
  <bookViews>
    <workbookView xWindow="-120" yWindow="-120" windowWidth="29040" windowHeight="15720" firstSheet="1" activeTab="1" xr2:uid="{7A788F83-5C19-4D9E-A0FB-5662583527FE}"/>
  </bookViews>
  <sheets>
    <sheet name="14630001" sheetId="1" r:id="rId1"/>
    <sheet name="64407564MMY3002" sheetId="2" r:id="rId2"/>
    <sheet name="ABK-CA-PROT-85" sheetId="3" r:id="rId3"/>
    <sheet name="ATOS Z 201" sheetId="4" r:id="rId4"/>
    <sheet name="AV 299 23 301" sheetId="5" r:id="rId5"/>
    <sheet name="BC IMT 04" sheetId="6" r:id="rId6"/>
    <sheet name="CA2330000" sheetId="7" r:id="rId7"/>
    <sheet name="CA20976K" sheetId="8" r:id="rId8"/>
    <sheet name="CHS 388 202" sheetId="9" r:id="rId9"/>
    <sheet name="D361DC00001" sheetId="10" r:id="rId10"/>
    <sheet name="D7632C00001" sheetId="11" r:id="rId11"/>
    <sheet name="HC366RCC2311" sheetId="12" r:id="rId12"/>
    <sheet name="HCRN BRE20-468" sheetId="13" r:id="rId13"/>
    <sheet name="IMC F106C 301" sheetId="14" r:id="rId14"/>
    <sheet name="INT231401" sheetId="15" r:id="rId15"/>
    <sheet name="MK3475U06" sheetId="16" r:id="rId16"/>
    <sheet name="MK 5684 004" sheetId="17" r:id="rId17"/>
    <sheet name="NP G2 044 P2 01" sheetId="18" r:id="rId18"/>
    <sheet name="PRISM 1" sheetId="19" r:id="rId19"/>
    <sheet name="RBS2418 1001" sheetId="20" r:id="rId20"/>
    <sheet name="RLY2608101" sheetId="21" r:id="rId21"/>
    <sheet name="SMX22002" sheetId="22" r:id="rId22"/>
    <sheet name="STK012101" sheetId="23" r:id="rId23"/>
    <sheet name="WINDOW Gastric IIT" sheetId="24" r:id="rId24"/>
    <sheet name="XL184 IST103" sheetId="25" r:id="rId25"/>
  </sheets>
  <definedNames>
    <definedName name="_xlnm.Print_Area" localSheetId="0">'14630001'!$A:$M</definedName>
    <definedName name="_xlnm.Print_Area" localSheetId="1">'64407564MMY3002'!$A:$L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J25" i="25"/>
  <c r="K30" i="24"/>
  <c r="J28" i="24"/>
  <c r="J27" i="24"/>
  <c r="J26" i="24"/>
  <c r="J25" i="24"/>
  <c r="K30" i="23"/>
  <c r="J28" i="23"/>
  <c r="J27" i="23"/>
  <c r="J26" i="23"/>
  <c r="J25" i="23"/>
  <c r="K40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5" i="21"/>
  <c r="K30" i="20"/>
  <c r="J27" i="20"/>
  <c r="J26" i="20"/>
  <c r="J25" i="20"/>
  <c r="K30" i="19"/>
  <c r="J28" i="19"/>
  <c r="J27" i="19"/>
  <c r="J26" i="19"/>
  <c r="J25" i="19"/>
  <c r="K30" i="18"/>
  <c r="J26" i="18"/>
  <c r="J25" i="18"/>
  <c r="K30" i="17"/>
  <c r="J27" i="17"/>
  <c r="J26" i="17"/>
  <c r="J25" i="17"/>
  <c r="K31" i="16"/>
  <c r="J29" i="16"/>
  <c r="J28" i="16"/>
  <c r="J27" i="16"/>
  <c r="J26" i="16"/>
  <c r="J25" i="16"/>
  <c r="K30" i="15"/>
  <c r="J28" i="15"/>
  <c r="J27" i="15"/>
  <c r="J26" i="15"/>
  <c r="J25" i="15"/>
  <c r="K31" i="14"/>
  <c r="J29" i="14"/>
  <c r="J28" i="14"/>
  <c r="J27" i="14"/>
  <c r="J26" i="14"/>
  <c r="J25" i="14"/>
  <c r="K31" i="12"/>
  <c r="J29" i="12"/>
  <c r="J28" i="12"/>
  <c r="J27" i="12"/>
  <c r="J26" i="12"/>
  <c r="J25" i="12"/>
  <c r="K31" i="11"/>
  <c r="J29" i="11"/>
  <c r="J28" i="11"/>
  <c r="J27" i="11"/>
  <c r="J26" i="11"/>
  <c r="J25" i="11"/>
  <c r="K33" i="10"/>
  <c r="J31" i="10"/>
  <c r="J30" i="10"/>
  <c r="J29" i="10"/>
  <c r="J28" i="10"/>
  <c r="J27" i="10"/>
  <c r="J26" i="10"/>
  <c r="J25" i="10"/>
  <c r="K35" i="9"/>
  <c r="J33" i="9"/>
  <c r="J32" i="9"/>
  <c r="J31" i="9"/>
  <c r="J30" i="9"/>
  <c r="J29" i="9"/>
  <c r="J28" i="9"/>
  <c r="J27" i="9"/>
  <c r="J26" i="9"/>
  <c r="J25" i="9"/>
  <c r="K30" i="8"/>
  <c r="J26" i="8"/>
  <c r="J25" i="8"/>
  <c r="K31" i="7"/>
  <c r="J26" i="7"/>
  <c r="J25" i="7"/>
  <c r="K30" i="6"/>
  <c r="J27" i="6"/>
  <c r="J26" i="6"/>
  <c r="J25" i="6"/>
  <c r="K32" i="5"/>
  <c r="J30" i="5"/>
  <c r="J29" i="5"/>
  <c r="J28" i="5"/>
  <c r="J27" i="5"/>
  <c r="J26" i="5"/>
  <c r="J25" i="5"/>
  <c r="K30" i="4"/>
  <c r="J26" i="4"/>
  <c r="J25" i="4"/>
  <c r="J25" i="3"/>
  <c r="K40" i="2"/>
  <c r="J20" i="2" s="1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L30" i="1"/>
  <c r="K26" i="1"/>
  <c r="K25" i="1"/>
</calcChain>
</file>

<file path=xl/sharedStrings.xml><?xml version="1.0" encoding="utf-8"?>
<sst xmlns="http://schemas.openxmlformats.org/spreadsheetml/2006/main" count="1361" uniqueCount="233">
  <si>
    <t>INVOICE NO.:</t>
  </si>
  <si>
    <t xml:space="preserve">14630001 Oct 2025 Invoices </t>
  </si>
  <si>
    <t>UNIVERSITY OF ARIZONA</t>
  </si>
  <si>
    <t>MAIL PAYMENT TO:</t>
  </si>
  <si>
    <t>ATTENTION:  SANDRA WARREN</t>
  </si>
  <si>
    <t>BANNER UNIVERSITY MEDICAL GROUP</t>
  </si>
  <si>
    <t>PRINCIPAL ACCOUNTANT, CLINICAL TRIALS - POST AWARD</t>
  </si>
  <si>
    <t xml:space="preserve">PO BOX 741736 </t>
  </si>
  <si>
    <t>UA RESEARCH ADMINISTRATION</t>
  </si>
  <si>
    <t>LOS ANGELES, CA 90074-1736</t>
  </si>
  <si>
    <t>1700 E BROADWAY BLVD</t>
  </si>
  <si>
    <t>TUCSON, AZ 85721</t>
  </si>
  <si>
    <t>TIN</t>
  </si>
  <si>
    <t>94-2958258</t>
  </si>
  <si>
    <t>CREDIT CARD PAYMENTS:</t>
  </si>
  <si>
    <t>CALL: 520-874-7200</t>
  </si>
  <si>
    <t xml:space="preserve">STATEMENT OF MEDICAL SERVICES </t>
  </si>
  <si>
    <t>STUDY NAME:</t>
  </si>
  <si>
    <t>STUDY CODE:</t>
  </si>
  <si>
    <t>STUDY00000124</t>
  </si>
  <si>
    <t xml:space="preserve"> </t>
  </si>
  <si>
    <t>KFS NO.:</t>
  </si>
  <si>
    <t>AMOUNT ENCLOSED</t>
  </si>
  <si>
    <t>$</t>
  </si>
  <si>
    <t>RESEARCH:</t>
  </si>
  <si>
    <t>UA Research Industry</t>
  </si>
  <si>
    <t>Practice ID</t>
  </si>
  <si>
    <t>Encounter</t>
  </si>
  <si>
    <t>Patient Name</t>
  </si>
  <si>
    <t>Birth Date</t>
  </si>
  <si>
    <t>Provider</t>
  </si>
  <si>
    <t>DOS</t>
  </si>
  <si>
    <t>CPT4 Code</t>
  </si>
  <si>
    <t>CPT4 Code Description</t>
  </si>
  <si>
    <t>Charge Amount</t>
  </si>
  <si>
    <t>Adjustment</t>
  </si>
  <si>
    <t>Balance Due</t>
  </si>
  <si>
    <t>Number</t>
  </si>
  <si>
    <t>MENDOZA, OSCAR FUENTES</t>
  </si>
  <si>
    <t>Moukabary, Talal MD</t>
  </si>
  <si>
    <t>ELECTROCARDIOGRAM REPORT</t>
  </si>
  <si>
    <t>BALANCE THIS STATEMENT</t>
  </si>
  <si>
    <t>64407564MMY3002 Oct 2025 Invoice</t>
  </si>
  <si>
    <t>64407564MMY3002</t>
  </si>
  <si>
    <t>STUDY00001854</t>
  </si>
  <si>
    <t>STARKS, TERRY LYNN</t>
  </si>
  <si>
    <t>Bains, Justin DO</t>
  </si>
  <si>
    <t>NEEDLE LOCALIZATION BY XRAY</t>
  </si>
  <si>
    <t>MOD SED SAME PHYS/QHP 5/&gt;YRS</t>
  </si>
  <si>
    <t>DX BONE MARROW BX &amp; ASPIR</t>
  </si>
  <si>
    <t>Spier, Catherine M MD</t>
  </si>
  <si>
    <t>TISSUE EXAM BY PATHOLOGIST</t>
  </si>
  <si>
    <t>BONE MARROW INTERPRETATION</t>
  </si>
  <si>
    <t>FLOWCYTOMETRY/READ 16 &amp; &gt;</t>
  </si>
  <si>
    <t>M/PHMTRC ALYSISHQUANT/SEMIQ</t>
  </si>
  <si>
    <t>SPECIAL STAINS GROUP 2</t>
  </si>
  <si>
    <t>DECALCIFY TISSUE</t>
  </si>
  <si>
    <t>TUMOR IMMUNOHISTOCHEM/MANUAL</t>
  </si>
  <si>
    <t>INSITU HYBRIDIZATION MANUAL</t>
  </si>
  <si>
    <t>Fuchs, Deborah A MD</t>
  </si>
  <si>
    <t>M/PHMTRC ALYS ISHQUANT/SEMIQ</t>
  </si>
  <si>
    <t xml:space="preserve">ABK-CA-PROT-85 Oct 2025 Invoice </t>
  </si>
  <si>
    <t>ABK-CA-PROT-85</t>
  </si>
  <si>
    <t>STUDY00003835</t>
  </si>
  <si>
    <t>DAUGHTERY, STEPHEN CHRISTOPHER</t>
  </si>
  <si>
    <t>Devis, Paola MD</t>
  </si>
  <si>
    <t>CT ANGIO ABD&amp;PELV W/O&amp;W/DYE</t>
  </si>
  <si>
    <t xml:space="preserve">ATOS Z 201 Oct 2025 Invoice </t>
  </si>
  <si>
    <t>ATOS Z 201</t>
  </si>
  <si>
    <t>STUDY00003194</t>
  </si>
  <si>
    <t>MORRISSEY, DIANA LYNN</t>
  </si>
  <si>
    <t>Singh, Amitoj J MD</t>
  </si>
  <si>
    <t>AV 299 23 301 Oct 2025 Invoice</t>
  </si>
  <si>
    <t>AV 299 23 301</t>
  </si>
  <si>
    <t>STUDY00003753</t>
  </si>
  <si>
    <t xml:space="preserve">DAVIDSON, MICHAEL </t>
  </si>
  <si>
    <t>Corban, Michel T MD</t>
  </si>
  <si>
    <t>ECHOCARDIOGRAM TTE W/DOPPLER COMP</t>
  </si>
  <si>
    <t>IMG STRAIN MYOC TRACK ASSESSMENT DERIVED SPECKLE</t>
  </si>
  <si>
    <t>DAVIDSON, MICHAEL ROSS</t>
  </si>
  <si>
    <t>Carmody, Raymond F MD</t>
  </si>
  <si>
    <t>CT SOFT TISSUE NECK W/DYE</t>
  </si>
  <si>
    <t>Reynolds, Conner D DO</t>
  </si>
  <si>
    <t>CT ABDOMEN W/DYE</t>
  </si>
  <si>
    <t>Shankar, Sridhar MD</t>
  </si>
  <si>
    <t>CT CHEST DX W CNT</t>
  </si>
  <si>
    <t xml:space="preserve">BC IMT 04 Oct 2025 Invoice </t>
  </si>
  <si>
    <t>BC IMT 04</t>
  </si>
  <si>
    <t>STUDY00005616</t>
  </si>
  <si>
    <t>BEARPAW, MARIAELENA SANTOS</t>
  </si>
  <si>
    <t>Al Khafaji, Fatima MBChB</t>
  </si>
  <si>
    <t>CT ABDOMEN&amp;PELVIS W/CONTRAST</t>
  </si>
  <si>
    <t>Q9967</t>
  </si>
  <si>
    <t>LOCM IODINE 300-399 MG/ML</t>
  </si>
  <si>
    <t>CA2330000 Oct 2025 Invoice</t>
  </si>
  <si>
    <t>CA2330000</t>
  </si>
  <si>
    <t>STUDY00005059</t>
  </si>
  <si>
    <t>PATACONI, DAVID JONATHAN</t>
  </si>
  <si>
    <t>Arif Tiwari, Hina MD</t>
  </si>
  <si>
    <t xml:space="preserve">CA20976K Oct 2025 Invoice </t>
  </si>
  <si>
    <t>CA20976K</t>
  </si>
  <si>
    <t>HILL, DONNA LYNNE</t>
  </si>
  <si>
    <t>Miller, Christopher R MD</t>
  </si>
  <si>
    <t>CHS 388 202 Oct 2025 Invoice</t>
  </si>
  <si>
    <t>CHS 388 202</t>
  </si>
  <si>
    <t>STUDY00005480</t>
  </si>
  <si>
    <t>LEE, HUN TAE</t>
  </si>
  <si>
    <t>Lattimore, Lois E ANP</t>
  </si>
  <si>
    <t>VISIT OFFICE/OUTPATIENT EST LEVEL 5</t>
  </si>
  <si>
    <t>Powell, Nicholas D CRNA</t>
  </si>
  <si>
    <t>ANES GI UPR ENDO PROC NON ERCP</t>
  </si>
  <si>
    <t>Murarescu, Mihai B MD</t>
  </si>
  <si>
    <t>SPECIAL ANESTHESIA SERVICE</t>
  </si>
  <si>
    <t>Pokhrel, Bhupesh MD</t>
  </si>
  <si>
    <t>UPPER GI ENDO DIAGNOSTIC</t>
  </si>
  <si>
    <t>LOPEZGAMEZ, ELEAZAR</t>
  </si>
  <si>
    <t>Yaddanapudi, Kavitha MD</t>
  </si>
  <si>
    <t>Soliman, Hazem H MBBCh</t>
  </si>
  <si>
    <t>MRI ABDOMEN W/O &amp; W/DYE</t>
  </si>
  <si>
    <t>MRI PELVIS W/O &amp; W/DYE</t>
  </si>
  <si>
    <t xml:space="preserve">D361DC00001 Oct 2025 Invoice </t>
  </si>
  <si>
    <t>D361DC00001</t>
  </si>
  <si>
    <t>STUDY00004723</t>
  </si>
  <si>
    <t>GUTIERREZ, ELDA JESUS</t>
  </si>
  <si>
    <t>CANASTILLOARGUELLES, MONICA PATRICIA</t>
  </si>
  <si>
    <t>COLLI, CARLA MARIETHERESE</t>
  </si>
  <si>
    <t xml:space="preserve">D7632C00001 Oct 2025 Invoice </t>
  </si>
  <si>
    <t>D7632C00001</t>
  </si>
  <si>
    <t>STUDY00005044</t>
  </si>
  <si>
    <t xml:space="preserve">SUGAR, JAN </t>
  </si>
  <si>
    <t>Kozak, Igor MD</t>
  </si>
  <si>
    <t>EYE EXAM NEW PATIENT</t>
  </si>
  <si>
    <t>CMPTR OPHTH DX IMG POST SEGMT RETINA</t>
  </si>
  <si>
    <t>EYE EXAM WITH PHOTOS</t>
  </si>
  <si>
    <t xml:space="preserve">HC366RCC2311 Oct 2025 Invoice </t>
  </si>
  <si>
    <t>HC366RCC2311</t>
  </si>
  <si>
    <t>STUDY00004287</t>
  </si>
  <si>
    <t>CARRILLO, FELIX BENITO</t>
  </si>
  <si>
    <t>ELECTROCARDIOGRAM TRACING</t>
  </si>
  <si>
    <t>VALLECORONA, MARIA D</t>
  </si>
  <si>
    <t xml:space="preserve">HCRN BRE20-468 Oct 2025 Invoice </t>
  </si>
  <si>
    <t>HCRN BRE20-468</t>
  </si>
  <si>
    <t>STUDY00002120</t>
  </si>
  <si>
    <t>ZACHARIASMILLER, CARNA DOLORES</t>
  </si>
  <si>
    <t>IMC F106C 301 Oct 2025 Invoice</t>
  </si>
  <si>
    <t>IMC F106C 301</t>
  </si>
  <si>
    <t>STUDY00004524</t>
  </si>
  <si>
    <t>PEARCE, PHIL SHERWOOD</t>
  </si>
  <si>
    <t>Bozdogan, Erol MD</t>
  </si>
  <si>
    <t>A9577</t>
  </si>
  <si>
    <t>INJ MULTIHANCE</t>
  </si>
  <si>
    <t xml:space="preserve">INT231401 Oct 2025 Invoice </t>
  </si>
  <si>
    <t>INT231401</t>
  </si>
  <si>
    <t>STUDY00004698</t>
  </si>
  <si>
    <t>PAUGH, VALERIE JEAN</t>
  </si>
  <si>
    <t>Kramer, Jennifer M MD</t>
  </si>
  <si>
    <t>BX BREAST 1ST LESION US IMAG</t>
  </si>
  <si>
    <t xml:space="preserve">BAILEY, JENNIFER </t>
  </si>
  <si>
    <t>Burns, Jacob G DO</t>
  </si>
  <si>
    <t>SCR MAMMO BI INCL CAD</t>
  </si>
  <si>
    <t>TOMOSYNTHESIS SCRN DIG BREAST BIL</t>
  </si>
  <si>
    <t>MK3475U06 Oct 2025 Invoice</t>
  </si>
  <si>
    <t>MK3475U06</t>
  </si>
  <si>
    <t>STUDY00004725</t>
  </si>
  <si>
    <t>CHANG, MI S</t>
  </si>
  <si>
    <t>Truong, Danh MD</t>
  </si>
  <si>
    <t xml:space="preserve">MK 5684 004 Oct 2025 Invoice </t>
  </si>
  <si>
    <t>MK 5684 004</t>
  </si>
  <si>
    <t>STUDY00003932</t>
  </si>
  <si>
    <t>MORALES, JOSE M</t>
  </si>
  <si>
    <t>Haughton, Dillon R DO</t>
  </si>
  <si>
    <t>BONE IMAGING WHOLE BODY</t>
  </si>
  <si>
    <t xml:space="preserve">NP G2 044 P2 01 Oct 2025 Invoice </t>
  </si>
  <si>
    <t>NP G2 044 P2 01</t>
  </si>
  <si>
    <t>STUDY00000268</t>
  </si>
  <si>
    <t>AVERILL, LINN FRANCIS</t>
  </si>
  <si>
    <t>Cooper Roth, Tristan D DO</t>
  </si>
  <si>
    <t>PET IMAGE W/CT SKULL-THIGH</t>
  </si>
  <si>
    <t>AVERILL, LINN F</t>
  </si>
  <si>
    <t xml:space="preserve">PRISM 1 Oct 2025 Invoice </t>
  </si>
  <si>
    <t>PRISM 1</t>
  </si>
  <si>
    <t>STUDY00004985</t>
  </si>
  <si>
    <t>MCSPADDEN, ROBIN CODE</t>
  </si>
  <si>
    <t>Shrawny, Shawn S MD</t>
  </si>
  <si>
    <t xml:space="preserve">RBS2418 1001 Oct 2025 Invoice </t>
  </si>
  <si>
    <t>RBS2418 1001</t>
  </si>
  <si>
    <t>STUDY00001160</t>
  </si>
  <si>
    <t>WILLIAMS, DON RICHIE</t>
  </si>
  <si>
    <t>RLY2608101 Oct 2025 Invoice</t>
  </si>
  <si>
    <t>RLY2608101</t>
  </si>
  <si>
    <t>STUDY00000848</t>
  </si>
  <si>
    <t>SEITZ, LINDA SUE</t>
  </si>
  <si>
    <t xml:space="preserve">SMX22002 Oct 2025 Invoice </t>
  </si>
  <si>
    <t>SMX22002</t>
  </si>
  <si>
    <t>STUDY00002821</t>
  </si>
  <si>
    <t>GLOVER, FAITH JEANNE</t>
  </si>
  <si>
    <t>Lowe, Avanka W MD</t>
  </si>
  <si>
    <t>78306A</t>
  </si>
  <si>
    <t>A9503A</t>
  </si>
  <si>
    <t>TC99M MEDRONATE DX/0-30 MCI DOSE</t>
  </si>
  <si>
    <t>Q9967A</t>
  </si>
  <si>
    <t>71260A</t>
  </si>
  <si>
    <t>74177A</t>
  </si>
  <si>
    <t>MORALES, MARY ELVIRA</t>
  </si>
  <si>
    <t>Iancu, Mihai F MD</t>
  </si>
  <si>
    <t>Savir Baruch, Bital MD</t>
  </si>
  <si>
    <t>A9503</t>
  </si>
  <si>
    <t xml:space="preserve">STK012101 Oct 2025 Invoice </t>
  </si>
  <si>
    <t>STK012101</t>
  </si>
  <si>
    <t>STUDY00005740</t>
  </si>
  <si>
    <t xml:space="preserve">ROBERTSON, IAN </t>
  </si>
  <si>
    <t>Acharya, Tushar MD</t>
  </si>
  <si>
    <t>ROBERTSON, IAN R</t>
  </si>
  <si>
    <t>WINDOW Gastric IIT Oct 2025 Invoice</t>
  </si>
  <si>
    <t>WINDOW Gastric IIT</t>
  </si>
  <si>
    <t>STUDY00001728</t>
  </si>
  <si>
    <t>UA Research Federal Internal</t>
  </si>
  <si>
    <t>YAKOVLEVA, VALENTINA PETROVNA</t>
  </si>
  <si>
    <t>Belcher, Steven J CRNA</t>
  </si>
  <si>
    <t>Nogami, Wallace M MD</t>
  </si>
  <si>
    <t>Yaghnam, Ibrahim Ali MD</t>
  </si>
  <si>
    <t>UPPER GI ENDO W/ BIOPSY</t>
  </si>
  <si>
    <t>XL184 IST103 Oct 2025 Invoice</t>
  </si>
  <si>
    <t>XL184 IST103</t>
  </si>
  <si>
    <t>BRAND, CORTNEY CARTER</t>
  </si>
  <si>
    <t>Leetch, Aaron N MD</t>
  </si>
  <si>
    <t>Seq #</t>
  </si>
  <si>
    <t>PO 810916</t>
  </si>
  <si>
    <t>PI</t>
  </si>
  <si>
    <t>Julian</t>
  </si>
  <si>
    <t>KD 01/20/2026</t>
  </si>
  <si>
    <t>Ok</t>
  </si>
  <si>
    <t>Husnain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</si>
</sst>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  <font>
      <sz val="11"/>
      <color rgb="FF000000"/>
      <name val="Aptos Narrow"/>
      <family val="2"/>
      <scheme val="minor"/>
    </font>
    <font>
      <b/>
      <sz val="9"/>
      <name val="Arial"/>
      <family val="2"/>
    </font>
    <font>
      <b/>
      <sz val="9"/>
      <color rgb="FF000000"/>
      <name val="Tahoma"/>
      <family val="2"/>
    </font>
    <font>
      <b/>
      <u/>
      <sz val="9"/>
      <name val="Arial"/>
      <family val="2"/>
    </font>
    <font>
      <b/>
      <sz val="11"/>
      <color rgb="FF000000"/>
      <name val="Aptos Narrow"/>
      <family val="2"/>
      <scheme val="minor"/>
    </font>
    <font>
      <b/>
      <sz val="9"/>
      <name val="Tahoma"/>
      <family val="2"/>
    </font>
    <font>
      <sz val="10"/>
      <name val="Arial"/>
      <family val="2"/>
    </font>
    <font>
      <b/>
      <sz val="12"/>
      <color rgb="FF000000"/>
      <name val="Aptos Narrow"/>
      <family val="2"/>
      <scheme val="minor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vertical="top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4" fillId="0" borderId="3" xfId="0" applyFont="1" applyBorder="1"/>
    <xf numFmtId="0" fontId="3" fillId="0" borderId="5" xfId="0" applyFont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readingOrder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8" fillId="0" borderId="0" xfId="0" applyFont="1"/>
    <xf numFmtId="0" fontId="9" fillId="3" borderId="7" xfId="0" applyFont="1" applyFill="1" applyBorder="1" applyAlignment="1">
      <alignment horizontal="center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9" fillId="3" borderId="10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8" fontId="0" fillId="0" borderId="0" xfId="0" applyNumberFormat="1"/>
    <xf numFmtId="44" fontId="0" fillId="0" borderId="0" xfId="1" applyFont="1"/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1" xfId="0" applyFont="1" applyBorder="1" applyAlignment="1">
      <alignment horizontal="right"/>
    </xf>
    <xf numFmtId="0" fontId="6" fillId="0" borderId="12" xfId="0" applyFont="1" applyBorder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6" fillId="0" borderId="6" xfId="0" applyFont="1" applyBorder="1" applyAlignment="1">
      <alignment horizontal="left" readingOrder="1"/>
    </xf>
    <xf numFmtId="0" fontId="6" fillId="0" borderId="0" xfId="0" applyFont="1" applyAlignment="1">
      <alignment horizontal="left" wrapText="1" readingOrder="1"/>
    </xf>
    <xf numFmtId="44" fontId="11" fillId="0" borderId="0" xfId="0" applyNumberFormat="1" applyFont="1" applyAlignment="1">
      <alignment horizontal="right" wrapText="1" readingOrder="1"/>
    </xf>
    <xf numFmtId="8" fontId="11" fillId="0" borderId="0" xfId="0" applyNumberFormat="1" applyFont="1" applyAlignment="1">
      <alignment horizontal="right" wrapText="1" readingOrder="1"/>
    </xf>
    <xf numFmtId="0" fontId="4" fillId="0" borderId="11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left" wrapText="1"/>
    </xf>
    <xf numFmtId="44" fontId="0" fillId="0" borderId="0" xfId="0" applyNumberFormat="1"/>
    <xf numFmtId="14" fontId="4" fillId="0" borderId="11" xfId="0" applyNumberFormat="1" applyFont="1" applyBorder="1"/>
    <xf numFmtId="8" fontId="4" fillId="0" borderId="11" xfId="0" applyNumberFormat="1" applyFont="1" applyBorder="1"/>
    <xf numFmtId="44" fontId="4" fillId="0" borderId="11" xfId="1" applyFont="1" applyBorder="1"/>
    <xf numFmtId="0" fontId="2" fillId="4" borderId="0" xfId="0" applyFont="1" applyFill="1"/>
    <xf numFmtId="0" fontId="12" fillId="0" borderId="0" xfId="0" applyFont="1"/>
    <xf numFmtId="0" fontId="6" fillId="0" borderId="12" xfId="0" applyFont="1" applyBorder="1" applyAlignment="1">
      <alignment horizontal="left" vertical="top" wrapText="1" readingOrder="1"/>
    </xf>
    <xf numFmtId="0" fontId="6" fillId="0" borderId="6" xfId="0" applyFont="1" applyBorder="1" applyAlignment="1">
      <alignment horizontal="left" readingOrder="1"/>
    </xf>
    <xf numFmtId="0" fontId="6" fillId="0" borderId="6" xfId="0" applyFont="1" applyBorder="1" applyAlignment="1">
      <alignment horizontal="left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10" fillId="0" borderId="8" xfId="0" applyFont="1" applyBorder="1"/>
    <xf numFmtId="0" fontId="6" fillId="0" borderId="0" xfId="0" applyFont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44" fontId="5" fillId="2" borderId="1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CC83-9BD7-4440-AF48-2EA7AB6635CB}">
  <sheetPr>
    <tabColor rgb="FFFF0000"/>
    <pageSetUpPr fitToPage="1"/>
  </sheetPr>
  <dimension ref="A1:W30"/>
  <sheetViews>
    <sheetView zoomScaleNormal="100" workbookViewId="0">
      <selection activeCell="I20" sqref="I20"/>
    </sheetView>
  </sheetViews>
  <sheetFormatPr defaultRowHeight="15" x14ac:dyDescent="0.25"/>
  <cols>
    <col min="1" max="1" width="17" customWidth="1"/>
    <col min="2" max="2" width="11.7109375" customWidth="1"/>
    <col min="3" max="3" width="15.140625" customWidth="1"/>
    <col min="4" max="5" width="26.28515625" hidden="1" customWidth="1"/>
    <col min="6" max="6" width="26.28515625" customWidth="1"/>
    <col min="7" max="7" width="12.7109375" customWidth="1"/>
    <col min="9" max="9" width="28.28515625" bestFit="1" customWidth="1"/>
    <col min="13" max="13" width="13.42578125" bestFit="1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x14ac:dyDescent="0.25">
      <c r="A2" s="1"/>
      <c r="B2" s="1"/>
      <c r="C2" s="1"/>
      <c r="D2" s="1"/>
      <c r="E2" s="1"/>
      <c r="F2" s="1"/>
      <c r="G2" s="3" t="s">
        <v>0</v>
      </c>
      <c r="H2" s="53" t="s">
        <v>1</v>
      </c>
      <c r="I2" s="53"/>
      <c r="J2" s="53"/>
      <c r="K2" s="53"/>
      <c r="L2" s="2"/>
      <c r="M2" s="2"/>
    </row>
    <row r="3" spans="1:13" x14ac:dyDescent="0.25">
      <c r="A3" s="1"/>
      <c r="B3" s="1"/>
      <c r="C3" s="1"/>
      <c r="D3" s="1"/>
      <c r="E3" s="1"/>
      <c r="F3" s="1"/>
      <c r="G3" s="1"/>
      <c r="H3" s="4"/>
      <c r="I3" s="4"/>
      <c r="J3" s="4"/>
      <c r="K3" s="2"/>
      <c r="L3" s="2"/>
      <c r="M3" s="2"/>
    </row>
    <row r="4" spans="1:13" x14ac:dyDescent="0.25">
      <c r="A4" s="46" t="s">
        <v>227</v>
      </c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2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</row>
    <row r="7" spans="1:13" x14ac:dyDescent="0.25">
      <c r="A7" s="3" t="s">
        <v>2</v>
      </c>
      <c r="B7" s="1"/>
      <c r="C7" s="1"/>
      <c r="D7" s="1"/>
      <c r="E7" s="1"/>
      <c r="F7" s="1"/>
      <c r="G7" s="5" t="s">
        <v>3</v>
      </c>
      <c r="H7" s="1"/>
      <c r="I7" s="1"/>
      <c r="J7" s="1"/>
      <c r="K7" s="2"/>
      <c r="L7" s="2"/>
      <c r="M7" s="2"/>
    </row>
    <row r="8" spans="1:13" x14ac:dyDescent="0.25">
      <c r="A8" s="3" t="s">
        <v>4</v>
      </c>
      <c r="B8" s="1"/>
      <c r="C8" s="1"/>
      <c r="D8" s="1"/>
      <c r="E8" s="1"/>
      <c r="F8" s="1"/>
      <c r="G8" s="3" t="s">
        <v>5</v>
      </c>
      <c r="H8" s="1"/>
      <c r="I8" s="1"/>
      <c r="J8" s="1"/>
      <c r="K8" s="2"/>
      <c r="L8" s="2"/>
      <c r="M8" s="2"/>
    </row>
    <row r="9" spans="1:13" x14ac:dyDescent="0.25">
      <c r="A9" s="3" t="s">
        <v>6</v>
      </c>
      <c r="B9" s="1"/>
      <c r="C9" s="1"/>
      <c r="D9" s="1"/>
      <c r="E9" s="1"/>
      <c r="F9" s="1"/>
      <c r="G9" s="3" t="s">
        <v>7</v>
      </c>
      <c r="H9" s="1"/>
      <c r="I9" s="1"/>
      <c r="J9" s="1"/>
      <c r="K9" s="2"/>
      <c r="L9" s="2"/>
      <c r="M9" s="2"/>
    </row>
    <row r="10" spans="1:13" x14ac:dyDescent="0.25">
      <c r="A10" s="3" t="s">
        <v>8</v>
      </c>
      <c r="B10" s="1"/>
      <c r="C10" s="1"/>
      <c r="D10" s="1"/>
      <c r="E10" s="1"/>
      <c r="F10" s="1"/>
      <c r="G10" s="4" t="s">
        <v>9</v>
      </c>
      <c r="H10" s="1"/>
      <c r="I10" s="1"/>
      <c r="J10" s="1"/>
      <c r="K10" s="2"/>
      <c r="L10" s="2"/>
      <c r="M10" s="2"/>
    </row>
    <row r="11" spans="1:13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2"/>
      <c r="L11" s="2"/>
      <c r="M11" s="2"/>
    </row>
    <row r="12" spans="1:13" x14ac:dyDescent="0.25">
      <c r="A12" s="3" t="s">
        <v>11</v>
      </c>
      <c r="B12" s="1"/>
      <c r="C12" s="1"/>
      <c r="D12" s="1"/>
      <c r="E12" s="1"/>
      <c r="F12" s="1"/>
      <c r="G12" s="4" t="s">
        <v>12</v>
      </c>
      <c r="H12" s="4" t="s">
        <v>13</v>
      </c>
      <c r="I12" s="4"/>
      <c r="J12" s="4"/>
      <c r="K12" s="2"/>
      <c r="L12" s="2"/>
      <c r="M12" s="2"/>
    </row>
    <row r="13" spans="1:13" ht="15.75" thickBot="1" x14ac:dyDescent="0.3">
      <c r="A13" s="3"/>
      <c r="B13" s="1"/>
      <c r="C13" s="1"/>
      <c r="D13" s="1"/>
      <c r="E13" s="1"/>
      <c r="F13" s="4"/>
      <c r="G13" s="1"/>
      <c r="H13" s="1"/>
      <c r="I13" s="1"/>
      <c r="J13" s="1"/>
      <c r="K13" s="2"/>
      <c r="L13" s="2"/>
      <c r="M13" s="2"/>
    </row>
    <row r="14" spans="1:13" ht="15.75" thickBot="1" x14ac:dyDescent="0.3">
      <c r="A14" s="6"/>
      <c r="B14" s="1"/>
      <c r="C14" s="1"/>
      <c r="D14" s="1"/>
      <c r="E14" s="1"/>
      <c r="F14" s="1"/>
      <c r="G14" s="54" t="s">
        <v>14</v>
      </c>
      <c r="H14" s="55"/>
      <c r="I14" s="7"/>
      <c r="J14" s="8" t="s">
        <v>15</v>
      </c>
      <c r="K14" s="9"/>
      <c r="L14" s="2"/>
      <c r="M14" s="2"/>
    </row>
    <row r="15" spans="1:13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2"/>
    </row>
    <row r="17" spans="1:23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2"/>
    </row>
    <row r="18" spans="1:23" x14ac:dyDescent="0.25">
      <c r="A18" s="11" t="s">
        <v>17</v>
      </c>
      <c r="B18" s="12">
        <v>14630001</v>
      </c>
      <c r="C18" s="12"/>
      <c r="D18" s="12"/>
      <c r="E18" s="13"/>
      <c r="F18" s="1"/>
      <c r="G18" s="1"/>
      <c r="H18" s="1"/>
      <c r="I18" s="1"/>
      <c r="J18" s="1"/>
      <c r="K18" s="1"/>
      <c r="L18" s="1"/>
      <c r="M18" s="2"/>
    </row>
    <row r="19" spans="1:23" ht="15.75" customHeight="1" thickBot="1" x14ac:dyDescent="0.3">
      <c r="A19" s="11" t="s">
        <v>18</v>
      </c>
      <c r="B19" s="12" t="s">
        <v>19</v>
      </c>
      <c r="C19" s="12"/>
      <c r="D19" s="12"/>
      <c r="E19" s="13"/>
      <c r="F19" s="14" t="s">
        <v>20</v>
      </c>
      <c r="G19" s="14"/>
      <c r="H19" s="15"/>
      <c r="I19" s="15"/>
      <c r="J19" s="15"/>
      <c r="K19" s="11"/>
      <c r="L19" s="11"/>
      <c r="M19" s="2"/>
    </row>
    <row r="20" spans="1:23" ht="36.75" thickBot="1" x14ac:dyDescent="0.3">
      <c r="A20" s="15" t="s">
        <v>21</v>
      </c>
      <c r="B20" s="12">
        <v>4261720</v>
      </c>
      <c r="C20" s="12"/>
      <c r="D20" s="12"/>
      <c r="E20" s="15"/>
      <c r="F20" s="16"/>
      <c r="G20" s="16"/>
      <c r="H20" s="15"/>
      <c r="I20" s="15"/>
      <c r="J20" s="17" t="s">
        <v>22</v>
      </c>
      <c r="K20" s="58">
        <f>L30</f>
        <v>21.48</v>
      </c>
      <c r="L20" s="59"/>
      <c r="M20" s="18"/>
    </row>
    <row r="21" spans="1:23" x14ac:dyDescent="0.25">
      <c r="A21" s="11" t="s">
        <v>24</v>
      </c>
      <c r="B21" s="19" t="s">
        <v>25</v>
      </c>
      <c r="C21" s="19"/>
      <c r="D21" s="16"/>
      <c r="E21" s="13"/>
      <c r="F21" s="20"/>
      <c r="G21" s="13"/>
      <c r="H21" s="11"/>
      <c r="I21" s="11"/>
      <c r="J21" s="11"/>
      <c r="K21" s="11"/>
      <c r="L21" s="11"/>
      <c r="M21" s="21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spans="1:23" x14ac:dyDescent="0.25">
      <c r="A22" s="11" t="s">
        <v>228</v>
      </c>
      <c r="B22" s="11" t="s">
        <v>229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2"/>
    </row>
    <row r="23" spans="1:23" x14ac:dyDescent="0.25">
      <c r="A23" s="50" t="s">
        <v>26</v>
      </c>
      <c r="B23" s="22" t="s">
        <v>27</v>
      </c>
      <c r="C23" s="22" t="s">
        <v>226</v>
      </c>
      <c r="D23" s="50" t="s">
        <v>28</v>
      </c>
      <c r="E23" s="50" t="s">
        <v>29</v>
      </c>
      <c r="F23" s="50" t="s">
        <v>30</v>
      </c>
      <c r="G23" s="50" t="s">
        <v>31</v>
      </c>
      <c r="H23" s="50" t="s">
        <v>32</v>
      </c>
      <c r="I23" s="50" t="s">
        <v>33</v>
      </c>
      <c r="J23" s="50" t="s">
        <v>34</v>
      </c>
      <c r="K23" s="50" t="s">
        <v>35</v>
      </c>
      <c r="L23" s="50" t="s">
        <v>36</v>
      </c>
      <c r="M23" s="52" t="s">
        <v>230</v>
      </c>
    </row>
    <row r="24" spans="1:23" x14ac:dyDescent="0.25">
      <c r="A24" s="51"/>
      <c r="B24" s="24" t="s">
        <v>37</v>
      </c>
      <c r="C24" s="23"/>
      <c r="D24" s="51"/>
      <c r="E24" s="51"/>
      <c r="F24" s="51"/>
      <c r="G24" s="51"/>
      <c r="H24" s="51"/>
      <c r="I24" s="51"/>
      <c r="J24" s="51"/>
      <c r="K24" s="51"/>
      <c r="L24" s="51"/>
      <c r="M24" s="52"/>
    </row>
    <row r="25" spans="1:23" x14ac:dyDescent="0.25">
      <c r="A25">
        <v>84</v>
      </c>
      <c r="B25">
        <v>7121294</v>
      </c>
      <c r="C25">
        <v>1840001018</v>
      </c>
      <c r="D25" t="s">
        <v>38</v>
      </c>
      <c r="E25" s="25">
        <v>23565</v>
      </c>
      <c r="F25" t="s">
        <v>39</v>
      </c>
      <c r="G25" s="25">
        <v>45958</v>
      </c>
      <c r="H25">
        <v>93010</v>
      </c>
      <c r="I25" t="s">
        <v>40</v>
      </c>
      <c r="J25" s="26">
        <v>25</v>
      </c>
      <c r="K25" s="26">
        <f>J25-L25</f>
        <v>14.26</v>
      </c>
      <c r="L25" s="27">
        <v>10.74</v>
      </c>
      <c r="M25" s="28" t="s">
        <v>231</v>
      </c>
    </row>
    <row r="26" spans="1:23" x14ac:dyDescent="0.25">
      <c r="A26">
        <v>84</v>
      </c>
      <c r="B26">
        <v>7121294</v>
      </c>
      <c r="C26">
        <v>1840001018</v>
      </c>
      <c r="D26" t="s">
        <v>38</v>
      </c>
      <c r="E26" s="25">
        <v>23565</v>
      </c>
      <c r="F26" t="s">
        <v>39</v>
      </c>
      <c r="G26" s="25">
        <v>45958</v>
      </c>
      <c r="H26">
        <v>9301076</v>
      </c>
      <c r="I26" t="s">
        <v>40</v>
      </c>
      <c r="J26" s="26">
        <v>25</v>
      </c>
      <c r="K26" s="26">
        <f>J26-L26</f>
        <v>14.26</v>
      </c>
      <c r="L26" s="27">
        <v>10.74</v>
      </c>
      <c r="M26" s="28" t="s">
        <v>231</v>
      </c>
    </row>
    <row r="27" spans="1:23" x14ac:dyDescent="0.25">
      <c r="A27" s="29"/>
      <c r="B27" s="30"/>
      <c r="C27" s="30"/>
      <c r="D27" s="30"/>
      <c r="E27" s="30"/>
      <c r="F27" s="30"/>
      <c r="G27" s="30"/>
      <c r="H27" s="31"/>
      <c r="I27" s="30"/>
      <c r="J27" s="30"/>
      <c r="K27" s="30"/>
      <c r="L27" s="30"/>
      <c r="M27" s="28"/>
    </row>
    <row r="28" spans="1:23" x14ac:dyDescent="0.25">
      <c r="A28" s="29"/>
      <c r="B28" s="30"/>
      <c r="C28" s="30"/>
      <c r="D28" s="30"/>
      <c r="E28" s="30"/>
      <c r="F28" s="30"/>
      <c r="G28" s="30"/>
      <c r="H28" s="31"/>
      <c r="I28" s="30"/>
      <c r="J28" s="30"/>
      <c r="K28" s="30"/>
      <c r="L28" s="30"/>
      <c r="M28" s="28"/>
    </row>
    <row r="29" spans="1:23" ht="15.75" thickBot="1" x14ac:dyDescent="0.3">
      <c r="A29" s="47"/>
      <c r="B29" s="47"/>
      <c r="C29" s="32"/>
      <c r="D29" s="47"/>
      <c r="E29" s="47"/>
      <c r="F29" s="47"/>
      <c r="G29" s="47"/>
      <c r="H29" s="47"/>
      <c r="I29" s="47"/>
      <c r="J29" s="47"/>
      <c r="K29" s="47"/>
      <c r="L29" s="47"/>
      <c r="M29" s="33"/>
    </row>
    <row r="30" spans="1:23" ht="16.5" thickTop="1" x14ac:dyDescent="0.25">
      <c r="A30" s="48" t="s">
        <v>41</v>
      </c>
      <c r="B30" s="48"/>
      <c r="C30" s="34"/>
      <c r="D30" s="49"/>
      <c r="E30" s="49"/>
      <c r="F30" s="49"/>
      <c r="G30" s="49"/>
      <c r="H30" s="35"/>
      <c r="I30" s="35"/>
      <c r="J30" s="35"/>
      <c r="K30" s="35"/>
      <c r="L30" s="36">
        <f>SUM(L25:L26)</f>
        <v>21.48</v>
      </c>
      <c r="M30" s="35"/>
    </row>
  </sheetData>
  <mergeCells count="24">
    <mergeCell ref="M23:M24"/>
    <mergeCell ref="H2:K2"/>
    <mergeCell ref="G14:H14"/>
    <mergeCell ref="A16:L16"/>
    <mergeCell ref="A17:L17"/>
    <mergeCell ref="K20:L20"/>
    <mergeCell ref="A23:A24"/>
    <mergeCell ref="D23:D24"/>
    <mergeCell ref="E23:E24"/>
    <mergeCell ref="F23:F24"/>
    <mergeCell ref="G23:G24"/>
    <mergeCell ref="K29:L29"/>
    <mergeCell ref="A30:B30"/>
    <mergeCell ref="D30:E30"/>
    <mergeCell ref="F30:G30"/>
    <mergeCell ref="H23:H24"/>
    <mergeCell ref="I23:I24"/>
    <mergeCell ref="A29:B29"/>
    <mergeCell ref="D29:E29"/>
    <mergeCell ref="F29:G29"/>
    <mergeCell ref="H29:J29"/>
    <mergeCell ref="J23:J24"/>
    <mergeCell ref="K23:K24"/>
    <mergeCell ref="L23:L24"/>
  </mergeCells>
  <pageMargins left="0.7" right="0.7" top="0.75" bottom="0.75" header="0.3" footer="0.3"/>
  <pageSetup scale="56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89C4-6368-478A-9321-180F68C252D9}">
  <sheetPr>
    <tabColor rgb="FFFF0000"/>
    <pageSetUpPr fitToPage="1"/>
  </sheetPr>
  <dimension ref="A1:V40"/>
  <sheetViews>
    <sheetView tabSelected="1" zoomScaleNormal="100" workbookViewId="0">
      <selection activeCell="Q13" sqref="Q13"/>
    </sheetView>
  </sheetViews>
  <sheetFormatPr defaultRowHeight="15" x14ac:dyDescent="0.25"/>
  <cols>
    <col min="1" max="1" width="17" customWidth="1"/>
    <col min="3" max="3" width="14" customWidth="1"/>
    <col min="4" max="4" width="9.140625" customWidth="1"/>
    <col min="6" max="6" width="12.7109375" customWidth="1"/>
    <col min="7" max="7" width="20" customWidth="1"/>
    <col min="8" max="8" width="35" bestFit="1" customWidth="1"/>
    <col min="12" max="12" width="13.140625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42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46" t="s">
        <v>227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43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44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4266520</v>
      </c>
      <c r="C20" s="12"/>
      <c r="D20" s="15"/>
      <c r="E20" s="16"/>
      <c r="F20" s="16"/>
      <c r="G20" s="15"/>
      <c r="H20" s="15"/>
      <c r="I20" s="17" t="s">
        <v>22</v>
      </c>
      <c r="J20" s="58">
        <f>K40</f>
        <v>929.24000000000012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 t="s">
        <v>228</v>
      </c>
      <c r="B22" s="11" t="s">
        <v>232</v>
      </c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 t="s">
        <v>230</v>
      </c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4571188</v>
      </c>
      <c r="C25" t="s">
        <v>45</v>
      </c>
      <c r="D25" s="25">
        <v>20764</v>
      </c>
      <c r="E25" t="s">
        <v>46</v>
      </c>
      <c r="F25" s="25">
        <v>45912</v>
      </c>
      <c r="G25">
        <v>7700226</v>
      </c>
      <c r="H25" t="s">
        <v>47</v>
      </c>
      <c r="I25" s="26">
        <v>72</v>
      </c>
      <c r="J25" s="26">
        <f t="shared" ref="J25:J38" si="0">I25-K25</f>
        <v>36.68</v>
      </c>
      <c r="K25" s="27">
        <v>35.32</v>
      </c>
      <c r="L25" s="28" t="s">
        <v>231</v>
      </c>
    </row>
    <row r="26" spans="1:22" x14ac:dyDescent="0.25">
      <c r="A26">
        <v>510</v>
      </c>
      <c r="B26">
        <v>4571188</v>
      </c>
      <c r="C26" t="s">
        <v>45</v>
      </c>
      <c r="D26" s="25">
        <v>20764</v>
      </c>
      <c r="E26" t="s">
        <v>46</v>
      </c>
      <c r="F26" s="25">
        <v>45912</v>
      </c>
      <c r="G26">
        <v>99152</v>
      </c>
      <c r="H26" t="s">
        <v>48</v>
      </c>
      <c r="I26" s="26">
        <v>32</v>
      </c>
      <c r="J26" s="26">
        <f t="shared" si="0"/>
        <v>15.98</v>
      </c>
      <c r="K26" s="27">
        <v>16.02</v>
      </c>
      <c r="L26" s="28" t="s">
        <v>231</v>
      </c>
    </row>
    <row r="27" spans="1:22" x14ac:dyDescent="0.25">
      <c r="A27">
        <v>510</v>
      </c>
      <c r="B27">
        <v>4571188</v>
      </c>
      <c r="C27" t="s">
        <v>45</v>
      </c>
      <c r="D27" s="25">
        <v>20764</v>
      </c>
      <c r="E27" t="s">
        <v>46</v>
      </c>
      <c r="F27" s="25">
        <v>45912</v>
      </c>
      <c r="G27">
        <v>38222</v>
      </c>
      <c r="H27" t="s">
        <v>49</v>
      </c>
      <c r="I27" s="26">
        <v>203</v>
      </c>
      <c r="J27" s="26">
        <f t="shared" si="0"/>
        <v>104.06</v>
      </c>
      <c r="K27" s="27">
        <v>98.94</v>
      </c>
      <c r="L27" s="28" t="s">
        <v>231</v>
      </c>
    </row>
    <row r="28" spans="1:22" x14ac:dyDescent="0.25">
      <c r="A28">
        <v>510</v>
      </c>
      <c r="B28">
        <v>4595244</v>
      </c>
      <c r="C28" t="s">
        <v>45</v>
      </c>
      <c r="D28" s="25">
        <v>20764</v>
      </c>
      <c r="E28" t="s">
        <v>50</v>
      </c>
      <c r="F28" s="25">
        <v>45912</v>
      </c>
      <c r="G28">
        <v>8830526</v>
      </c>
      <c r="H28" t="s">
        <v>51</v>
      </c>
      <c r="I28" s="26">
        <v>198</v>
      </c>
      <c r="J28" s="26">
        <f t="shared" si="0"/>
        <v>128.74</v>
      </c>
      <c r="K28" s="27">
        <v>69.260000000000005</v>
      </c>
      <c r="L28" s="28" t="s">
        <v>231</v>
      </c>
    </row>
    <row r="29" spans="1:22" x14ac:dyDescent="0.25">
      <c r="A29">
        <v>510</v>
      </c>
      <c r="B29">
        <v>4595244</v>
      </c>
      <c r="C29" t="s">
        <v>45</v>
      </c>
      <c r="D29" s="25">
        <v>20764</v>
      </c>
      <c r="E29" t="s">
        <v>50</v>
      </c>
      <c r="F29" s="25">
        <v>45912</v>
      </c>
      <c r="G29">
        <v>85097</v>
      </c>
      <c r="H29" t="s">
        <v>52</v>
      </c>
      <c r="I29" s="26">
        <v>86</v>
      </c>
      <c r="J29" s="26">
        <f t="shared" si="0"/>
        <v>23.340000000000003</v>
      </c>
      <c r="K29" s="27">
        <v>62.66</v>
      </c>
      <c r="L29" s="28" t="s">
        <v>231</v>
      </c>
    </row>
    <row r="30" spans="1:22" x14ac:dyDescent="0.25">
      <c r="A30">
        <v>510</v>
      </c>
      <c r="B30">
        <v>4595244</v>
      </c>
      <c r="C30" t="s">
        <v>45</v>
      </c>
      <c r="D30" s="25">
        <v>20764</v>
      </c>
      <c r="E30" t="s">
        <v>50</v>
      </c>
      <c r="F30" s="25">
        <v>45912</v>
      </c>
      <c r="G30">
        <v>88189</v>
      </c>
      <c r="H30" t="s">
        <v>53</v>
      </c>
      <c r="I30" s="26">
        <v>222</v>
      </c>
      <c r="J30" s="26">
        <f t="shared" si="0"/>
        <v>112.28</v>
      </c>
      <c r="K30" s="27">
        <v>109.72</v>
      </c>
      <c r="L30" s="28" t="s">
        <v>231</v>
      </c>
    </row>
    <row r="31" spans="1:22" x14ac:dyDescent="0.25">
      <c r="A31">
        <v>510</v>
      </c>
      <c r="B31">
        <v>4595244</v>
      </c>
      <c r="C31" t="s">
        <v>45</v>
      </c>
      <c r="D31" s="25">
        <v>20764</v>
      </c>
      <c r="E31" t="s">
        <v>50</v>
      </c>
      <c r="F31" s="25">
        <v>45912</v>
      </c>
      <c r="G31">
        <v>8836926</v>
      </c>
      <c r="H31" t="s">
        <v>54</v>
      </c>
      <c r="I31" s="26">
        <v>85</v>
      </c>
      <c r="J31" s="26">
        <f t="shared" si="0"/>
        <v>40.549999999999997</v>
      </c>
      <c r="K31" s="27">
        <v>44.45</v>
      </c>
      <c r="L31" s="28" t="s">
        <v>231</v>
      </c>
    </row>
    <row r="32" spans="1:22" x14ac:dyDescent="0.25">
      <c r="A32">
        <v>510</v>
      </c>
      <c r="B32">
        <v>4595244</v>
      </c>
      <c r="C32" t="s">
        <v>45</v>
      </c>
      <c r="D32" s="25">
        <v>20764</v>
      </c>
      <c r="E32" t="s">
        <v>50</v>
      </c>
      <c r="F32" s="25">
        <v>45912</v>
      </c>
      <c r="G32">
        <v>8831326</v>
      </c>
      <c r="H32" t="s">
        <v>55</v>
      </c>
      <c r="I32" s="26">
        <v>32</v>
      </c>
      <c r="J32" s="26">
        <f t="shared" si="0"/>
        <v>16.329999999999998</v>
      </c>
      <c r="K32" s="27">
        <v>15.67</v>
      </c>
      <c r="L32" s="28" t="s">
        <v>231</v>
      </c>
    </row>
    <row r="33" spans="1:12" x14ac:dyDescent="0.25">
      <c r="A33">
        <v>510</v>
      </c>
      <c r="B33">
        <v>4595244</v>
      </c>
      <c r="C33" t="s">
        <v>45</v>
      </c>
      <c r="D33" s="25">
        <v>20764</v>
      </c>
      <c r="E33" t="s">
        <v>50</v>
      </c>
      <c r="F33" s="25">
        <v>45912</v>
      </c>
      <c r="G33">
        <v>8831126</v>
      </c>
      <c r="H33" t="s">
        <v>56</v>
      </c>
      <c r="I33" s="26">
        <v>33</v>
      </c>
      <c r="J33" s="26">
        <f t="shared" si="0"/>
        <v>16.89</v>
      </c>
      <c r="K33" s="27">
        <v>16.11</v>
      </c>
      <c r="L33" s="28" t="s">
        <v>231</v>
      </c>
    </row>
    <row r="34" spans="1:12" x14ac:dyDescent="0.25">
      <c r="A34">
        <v>510</v>
      </c>
      <c r="B34">
        <v>4595244</v>
      </c>
      <c r="C34" t="s">
        <v>45</v>
      </c>
      <c r="D34" s="25">
        <v>20764</v>
      </c>
      <c r="E34" t="s">
        <v>50</v>
      </c>
      <c r="F34" s="25">
        <v>45912</v>
      </c>
      <c r="G34">
        <v>8836026</v>
      </c>
      <c r="H34" t="s">
        <v>57</v>
      </c>
      <c r="I34" s="26">
        <v>111</v>
      </c>
      <c r="J34" s="26">
        <f t="shared" si="0"/>
        <v>57.13</v>
      </c>
      <c r="K34" s="27">
        <v>53.87</v>
      </c>
      <c r="L34" s="28" t="s">
        <v>231</v>
      </c>
    </row>
    <row r="35" spans="1:12" x14ac:dyDescent="0.25">
      <c r="A35">
        <v>510</v>
      </c>
      <c r="B35">
        <v>4595244</v>
      </c>
      <c r="C35" t="s">
        <v>45</v>
      </c>
      <c r="D35" s="25">
        <v>20764</v>
      </c>
      <c r="E35" t="s">
        <v>50</v>
      </c>
      <c r="F35" s="25">
        <v>45912</v>
      </c>
      <c r="G35">
        <v>8836826</v>
      </c>
      <c r="H35" t="s">
        <v>58</v>
      </c>
      <c r="I35" s="26">
        <v>109</v>
      </c>
      <c r="J35" s="26">
        <f t="shared" si="0"/>
        <v>53.76</v>
      </c>
      <c r="K35" s="27">
        <v>55.24</v>
      </c>
      <c r="L35" s="28" t="s">
        <v>231</v>
      </c>
    </row>
    <row r="36" spans="1:12" x14ac:dyDescent="0.25">
      <c r="A36">
        <v>510</v>
      </c>
      <c r="B36">
        <v>4595245</v>
      </c>
      <c r="C36" t="s">
        <v>45</v>
      </c>
      <c r="D36" s="25">
        <v>20764</v>
      </c>
      <c r="E36" t="s">
        <v>59</v>
      </c>
      <c r="F36" s="25">
        <v>45912</v>
      </c>
      <c r="G36">
        <v>8836926</v>
      </c>
      <c r="H36" t="s">
        <v>54</v>
      </c>
      <c r="I36" s="26">
        <v>85</v>
      </c>
      <c r="J36" s="26">
        <f t="shared" si="0"/>
        <v>40.549999999999997</v>
      </c>
      <c r="K36" s="27">
        <v>44.45</v>
      </c>
      <c r="L36" s="28" t="s">
        <v>231</v>
      </c>
    </row>
    <row r="37" spans="1:12" x14ac:dyDescent="0.25">
      <c r="A37">
        <v>510</v>
      </c>
      <c r="B37">
        <v>4595245</v>
      </c>
      <c r="C37" t="s">
        <v>45</v>
      </c>
      <c r="D37" s="25">
        <v>20764</v>
      </c>
      <c r="E37" t="s">
        <v>59</v>
      </c>
      <c r="F37" s="25">
        <v>45912</v>
      </c>
      <c r="G37">
        <v>8836826</v>
      </c>
      <c r="H37" t="s">
        <v>58</v>
      </c>
      <c r="I37" s="26">
        <v>109</v>
      </c>
      <c r="J37" s="26">
        <f t="shared" si="0"/>
        <v>53.76</v>
      </c>
      <c r="K37" s="27">
        <v>55.24</v>
      </c>
      <c r="L37" s="28" t="s">
        <v>231</v>
      </c>
    </row>
    <row r="38" spans="1:12" x14ac:dyDescent="0.25">
      <c r="A38">
        <v>510</v>
      </c>
      <c r="B38">
        <v>4595245</v>
      </c>
      <c r="C38" t="s">
        <v>45</v>
      </c>
      <c r="D38" s="25">
        <v>20764</v>
      </c>
      <c r="E38" t="s">
        <v>59</v>
      </c>
      <c r="F38" s="25">
        <v>45912</v>
      </c>
      <c r="G38">
        <v>8837726</v>
      </c>
      <c r="H38" t="s">
        <v>60</v>
      </c>
      <c r="I38" s="26">
        <v>507</v>
      </c>
      <c r="J38" s="26">
        <f t="shared" si="0"/>
        <v>254.71</v>
      </c>
      <c r="K38" s="27">
        <v>252.29</v>
      </c>
      <c r="L38" s="28" t="s">
        <v>231</v>
      </c>
    </row>
    <row r="39" spans="1:12" ht="15.75" thickBot="1" x14ac:dyDescent="0.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33"/>
    </row>
    <row r="40" spans="1:12" ht="16.5" thickTop="1" x14ac:dyDescent="0.25">
      <c r="A40" s="48" t="s">
        <v>41</v>
      </c>
      <c r="B40" s="48"/>
      <c r="C40" s="49"/>
      <c r="D40" s="49"/>
      <c r="E40" s="49"/>
      <c r="F40" s="49"/>
      <c r="G40" s="35"/>
      <c r="H40" s="35"/>
      <c r="I40" s="35"/>
      <c r="J40" s="35"/>
      <c r="K40" s="36">
        <f>SUM(K25:K38)</f>
        <v>929.24000000000012</v>
      </c>
      <c r="L4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9:K39"/>
    <mergeCell ref="A40:B40"/>
    <mergeCell ref="C40:D40"/>
    <mergeCell ref="E40:F40"/>
    <mergeCell ref="G23:G24"/>
    <mergeCell ref="H23:H24"/>
    <mergeCell ref="A39:B39"/>
    <mergeCell ref="C39:D39"/>
    <mergeCell ref="E39:F39"/>
    <mergeCell ref="G39:I39"/>
    <mergeCell ref="I23:I24"/>
    <mergeCell ref="J23:J24"/>
    <mergeCell ref="K23:K24"/>
  </mergeCells>
  <pageMargins left="0.7" right="0.7" top="0.75" bottom="0.75" header="0.3" footer="0.3"/>
  <pageSetup scale="5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254D-C490-4E95-92B4-D4F33F20A35C}">
  <sheetPr>
    <tabColor rgb="FFFFFF00"/>
  </sheetPr>
  <dimension ref="A1:V29"/>
  <sheetViews>
    <sheetView topLeftCell="A4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61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62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63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4271190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4658671</v>
      </c>
      <c r="C25" t="s">
        <v>64</v>
      </c>
      <c r="D25" s="25">
        <v>19994</v>
      </c>
      <c r="E25" t="s">
        <v>65</v>
      </c>
      <c r="F25" s="25">
        <v>45953</v>
      </c>
      <c r="G25">
        <v>7417426</v>
      </c>
      <c r="H25" t="s">
        <v>66</v>
      </c>
      <c r="I25" s="26">
        <v>311</v>
      </c>
      <c r="J25" s="26">
        <f t="shared" ref="J25" si="0">I25-K25</f>
        <v>172.34</v>
      </c>
      <c r="K25" s="27">
        <v>138.66</v>
      </c>
      <c r="L25" s="28"/>
    </row>
    <row r="26" spans="1:22" x14ac:dyDescent="0.25">
      <c r="A26" s="29"/>
      <c r="B26" s="30"/>
      <c r="C26" s="30"/>
      <c r="D26" s="30"/>
      <c r="E26" s="30"/>
      <c r="F26" s="30"/>
      <c r="G26" s="31"/>
      <c r="H26" s="30"/>
      <c r="I26" s="30"/>
      <c r="J26" s="30"/>
      <c r="K26" s="30"/>
      <c r="L26" s="28"/>
    </row>
    <row r="27" spans="1:22" x14ac:dyDescent="0.25">
      <c r="A27" s="29"/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28"/>
    </row>
    <row r="28" spans="1:22" ht="15.75" thickBot="1" x14ac:dyDescent="0.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33"/>
    </row>
    <row r="29" spans="1:22" ht="16.5" thickTop="1" x14ac:dyDescent="0.25">
      <c r="A29" s="48" t="s">
        <v>41</v>
      </c>
      <c r="B29" s="48"/>
      <c r="C29" s="49"/>
      <c r="D29" s="49"/>
      <c r="E29" s="49"/>
      <c r="F29" s="49"/>
      <c r="G29" s="35"/>
      <c r="H29" s="35"/>
      <c r="I29" s="35"/>
      <c r="J29" s="35"/>
      <c r="K29" s="37">
        <v>138.66</v>
      </c>
      <c r="L29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42F0-74DE-46DD-B0D9-63B9317E6612}">
  <sheetPr>
    <tabColor rgb="FFFFFF00"/>
  </sheetPr>
  <dimension ref="A1:V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67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68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69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4271390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7129264</v>
      </c>
      <c r="C25" t="s">
        <v>70</v>
      </c>
      <c r="D25" s="25">
        <v>30807</v>
      </c>
      <c r="E25" t="s">
        <v>39</v>
      </c>
      <c r="F25" s="25">
        <v>45960</v>
      </c>
      <c r="G25">
        <v>93010</v>
      </c>
      <c r="H25" t="s">
        <v>40</v>
      </c>
      <c r="I25" s="26">
        <v>25</v>
      </c>
      <c r="J25" s="26">
        <f t="shared" ref="J25:J26" si="0">I25-K25</f>
        <v>14.26</v>
      </c>
      <c r="K25" s="27">
        <v>10.74</v>
      </c>
      <c r="L25" s="28"/>
    </row>
    <row r="26" spans="1:22" x14ac:dyDescent="0.25">
      <c r="A26">
        <v>84</v>
      </c>
      <c r="B26">
        <v>7153394</v>
      </c>
      <c r="C26" t="s">
        <v>70</v>
      </c>
      <c r="D26" s="25">
        <v>30807</v>
      </c>
      <c r="E26" t="s">
        <v>71</v>
      </c>
      <c r="F26" s="25">
        <v>45967</v>
      </c>
      <c r="G26">
        <v>93010</v>
      </c>
      <c r="H26" t="s">
        <v>40</v>
      </c>
      <c r="I26" s="26">
        <v>25</v>
      </c>
      <c r="J26" s="26">
        <f t="shared" si="0"/>
        <v>14.26</v>
      </c>
      <c r="K26" s="27">
        <v>10.74</v>
      </c>
      <c r="L26" s="28"/>
    </row>
    <row r="27" spans="1:22" x14ac:dyDescent="0.25">
      <c r="A27" s="29"/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SUM(K25:K26)</f>
        <v>21.48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11D2-0C99-4D68-AB21-63533FF975A6}">
  <sheetPr>
    <tabColor rgb="FFFFFF00"/>
  </sheetPr>
  <dimension ref="A1:V32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72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73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74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4270850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7141126</v>
      </c>
      <c r="C25" t="s">
        <v>75</v>
      </c>
      <c r="D25" s="25">
        <v>19188</v>
      </c>
      <c r="E25" t="s">
        <v>76</v>
      </c>
      <c r="F25" s="25">
        <v>45958</v>
      </c>
      <c r="G25">
        <v>9330626</v>
      </c>
      <c r="H25" t="s">
        <v>77</v>
      </c>
      <c r="I25" s="26">
        <v>203</v>
      </c>
      <c r="J25" s="26">
        <f t="shared" ref="J25:J30" si="0">I25-K25</f>
        <v>112.38</v>
      </c>
      <c r="K25" s="27">
        <v>90.62</v>
      </c>
      <c r="L25" s="28"/>
    </row>
    <row r="26" spans="1:22" x14ac:dyDescent="0.25">
      <c r="A26">
        <v>84</v>
      </c>
      <c r="B26">
        <v>7141126</v>
      </c>
      <c r="C26" t="s">
        <v>75</v>
      </c>
      <c r="D26" s="25">
        <v>19188</v>
      </c>
      <c r="E26" t="s">
        <v>76</v>
      </c>
      <c r="F26" s="25">
        <v>45958</v>
      </c>
      <c r="G26">
        <v>93356</v>
      </c>
      <c r="H26" t="s">
        <v>78</v>
      </c>
      <c r="I26" s="26">
        <v>36</v>
      </c>
      <c r="J26" s="26">
        <f t="shared" si="0"/>
        <v>20.39</v>
      </c>
      <c r="K26" s="27">
        <v>15.61</v>
      </c>
      <c r="L26" s="28"/>
    </row>
    <row r="27" spans="1:22" x14ac:dyDescent="0.25">
      <c r="A27">
        <v>84</v>
      </c>
      <c r="B27">
        <v>7139153</v>
      </c>
      <c r="C27" t="s">
        <v>75</v>
      </c>
      <c r="D27" s="25">
        <v>19188</v>
      </c>
      <c r="E27" t="s">
        <v>71</v>
      </c>
      <c r="F27" s="25">
        <v>45951</v>
      </c>
      <c r="G27">
        <v>93010</v>
      </c>
      <c r="H27" t="s">
        <v>40</v>
      </c>
      <c r="I27" s="26">
        <v>25</v>
      </c>
      <c r="J27" s="26">
        <f t="shared" si="0"/>
        <v>14.26</v>
      </c>
      <c r="K27" s="27">
        <v>10.74</v>
      </c>
      <c r="L27" s="28"/>
    </row>
    <row r="28" spans="1:22" x14ac:dyDescent="0.25">
      <c r="A28">
        <v>510</v>
      </c>
      <c r="B28">
        <v>4643205</v>
      </c>
      <c r="C28" t="s">
        <v>79</v>
      </c>
      <c r="D28" s="25">
        <v>19188</v>
      </c>
      <c r="E28" t="s">
        <v>80</v>
      </c>
      <c r="F28" s="25">
        <v>45947</v>
      </c>
      <c r="G28">
        <v>7049126</v>
      </c>
      <c r="H28" t="s">
        <v>81</v>
      </c>
      <c r="I28" s="26">
        <v>195</v>
      </c>
      <c r="J28" s="26">
        <f t="shared" si="0"/>
        <v>108.12</v>
      </c>
      <c r="K28" s="27">
        <v>86.88</v>
      </c>
      <c r="L28" s="28"/>
    </row>
    <row r="29" spans="1:22" x14ac:dyDescent="0.25">
      <c r="A29">
        <v>510</v>
      </c>
      <c r="B29">
        <v>4644301</v>
      </c>
      <c r="C29" t="s">
        <v>79</v>
      </c>
      <c r="D29" s="25">
        <v>19188</v>
      </c>
      <c r="E29" t="s">
        <v>82</v>
      </c>
      <c r="F29" s="25">
        <v>45947</v>
      </c>
      <c r="G29">
        <v>7416026</v>
      </c>
      <c r="H29" t="s">
        <v>83</v>
      </c>
      <c r="I29" s="26">
        <v>180</v>
      </c>
      <c r="J29" s="26">
        <f t="shared" si="0"/>
        <v>99.86</v>
      </c>
      <c r="K29" s="27">
        <v>80.14</v>
      </c>
      <c r="L29" s="28"/>
    </row>
    <row r="30" spans="1:22" x14ac:dyDescent="0.25">
      <c r="A30">
        <v>510</v>
      </c>
      <c r="B30">
        <v>4652189</v>
      </c>
      <c r="C30" t="s">
        <v>79</v>
      </c>
      <c r="D30" s="25">
        <v>19188</v>
      </c>
      <c r="E30" t="s">
        <v>84</v>
      </c>
      <c r="F30" s="25">
        <v>45947</v>
      </c>
      <c r="G30">
        <v>7126026</v>
      </c>
      <c r="H30" t="s">
        <v>85</v>
      </c>
      <c r="I30" s="26">
        <v>165</v>
      </c>
      <c r="J30" s="26">
        <f t="shared" si="0"/>
        <v>91.56</v>
      </c>
      <c r="K30" s="27">
        <v>73.44</v>
      </c>
      <c r="L30" s="28"/>
    </row>
    <row r="31" spans="1:22" ht="15.75" thickBot="1" x14ac:dyDescent="0.3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33"/>
    </row>
    <row r="32" spans="1:22" ht="16.5" thickTop="1" x14ac:dyDescent="0.25">
      <c r="A32" s="48" t="s">
        <v>41</v>
      </c>
      <c r="B32" s="48"/>
      <c r="C32" s="49"/>
      <c r="D32" s="49"/>
      <c r="E32" s="49"/>
      <c r="F32" s="49"/>
      <c r="G32" s="35"/>
      <c r="H32" s="35"/>
      <c r="I32" s="35"/>
      <c r="J32" s="35"/>
      <c r="K32" s="36">
        <f>SUM(K25:K30)</f>
        <v>357.43</v>
      </c>
      <c r="L32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1:K31"/>
    <mergeCell ref="A32:B32"/>
    <mergeCell ref="C32:D32"/>
    <mergeCell ref="E32:F32"/>
    <mergeCell ref="G23:G24"/>
    <mergeCell ref="H23:H24"/>
    <mergeCell ref="A31:B31"/>
    <mergeCell ref="C31:D31"/>
    <mergeCell ref="E31:F31"/>
    <mergeCell ref="G31:I31"/>
    <mergeCell ref="I23:I24"/>
    <mergeCell ref="J23:J24"/>
    <mergeCell ref="K23:K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CC8B-9D3B-4990-A1BF-9D843D886118}">
  <sheetPr>
    <tabColor rgb="FFFFFF00"/>
  </sheetPr>
  <dimension ref="A1:V30"/>
  <sheetViews>
    <sheetView topLeftCell="A7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86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87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88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4277150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7147329</v>
      </c>
      <c r="C25" t="s">
        <v>89</v>
      </c>
      <c r="D25" s="25">
        <v>21308</v>
      </c>
      <c r="E25" t="s">
        <v>90</v>
      </c>
      <c r="F25" s="25">
        <v>45961</v>
      </c>
      <c r="G25">
        <v>74177</v>
      </c>
      <c r="H25" t="s">
        <v>91</v>
      </c>
      <c r="I25" s="26">
        <v>922</v>
      </c>
      <c r="J25" s="26">
        <f t="shared" ref="J25:J27" si="0">I25-K25</f>
        <v>514.83999999999992</v>
      </c>
      <c r="K25" s="27">
        <v>407.16</v>
      </c>
      <c r="L25" s="28"/>
    </row>
    <row r="26" spans="1:22" x14ac:dyDescent="0.25">
      <c r="A26">
        <v>84</v>
      </c>
      <c r="B26">
        <v>7147329</v>
      </c>
      <c r="C26" t="s">
        <v>89</v>
      </c>
      <c r="D26" s="25">
        <v>21308</v>
      </c>
      <c r="E26" t="s">
        <v>90</v>
      </c>
      <c r="F26" s="25">
        <v>45961</v>
      </c>
      <c r="G26">
        <v>71260</v>
      </c>
      <c r="H26" t="s">
        <v>85</v>
      </c>
      <c r="I26" s="26">
        <v>510</v>
      </c>
      <c r="J26" s="26">
        <f t="shared" si="0"/>
        <v>284.77</v>
      </c>
      <c r="K26" s="27">
        <v>225.23</v>
      </c>
      <c r="L26" s="28"/>
    </row>
    <row r="27" spans="1:22" x14ac:dyDescent="0.25">
      <c r="A27">
        <v>84</v>
      </c>
      <c r="B27">
        <v>7147329</v>
      </c>
      <c r="C27" t="s">
        <v>89</v>
      </c>
      <c r="D27" s="25">
        <v>21308</v>
      </c>
      <c r="E27" t="s">
        <v>90</v>
      </c>
      <c r="F27" s="25">
        <v>45961</v>
      </c>
      <c r="G27" t="s">
        <v>92</v>
      </c>
      <c r="H27" t="s">
        <v>93</v>
      </c>
      <c r="I27" s="26">
        <v>40</v>
      </c>
      <c r="J27" s="26">
        <f t="shared" si="0"/>
        <v>22.98</v>
      </c>
      <c r="K27" s="27">
        <v>17.02</v>
      </c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SUM(K25:K27)</f>
        <v>649.41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980C-1F1D-446F-9DBF-0A86CC1D8B1F}">
  <sheetPr>
    <tabColor rgb="FFFFFF00"/>
  </sheetPr>
  <dimension ref="A1:V32"/>
  <sheetViews>
    <sheetView topLeftCell="A14" workbookViewId="0">
      <selection activeCell="B18" sqref="B18:B20"/>
    </sheetView>
  </sheetViews>
  <sheetFormatPr defaultRowHeight="15" x14ac:dyDescent="0.25"/>
  <cols>
    <col min="1" max="1" width="17" customWidth="1"/>
    <col min="4" max="4" width="12.570312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94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95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96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4278160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4684338</v>
      </c>
      <c r="C25" t="s">
        <v>97</v>
      </c>
      <c r="D25" s="25">
        <v>29571</v>
      </c>
      <c r="E25" t="s">
        <v>98</v>
      </c>
      <c r="F25" s="25">
        <v>45966</v>
      </c>
      <c r="G25">
        <v>7126026</v>
      </c>
      <c r="H25" t="s">
        <v>85</v>
      </c>
      <c r="I25" s="26">
        <v>165</v>
      </c>
      <c r="J25" s="26">
        <f t="shared" ref="J25:J26" si="0">I25-K25</f>
        <v>91.56</v>
      </c>
      <c r="K25" s="27">
        <v>73.44</v>
      </c>
      <c r="L25" s="28"/>
    </row>
    <row r="26" spans="1:22" x14ac:dyDescent="0.25">
      <c r="A26">
        <v>510</v>
      </c>
      <c r="B26">
        <v>4684338</v>
      </c>
      <c r="C26" t="s">
        <v>97</v>
      </c>
      <c r="D26" s="25">
        <v>29571</v>
      </c>
      <c r="E26" t="s">
        <v>98</v>
      </c>
      <c r="F26" s="25">
        <v>45966</v>
      </c>
      <c r="G26">
        <v>7417726</v>
      </c>
      <c r="H26" t="s">
        <v>91</v>
      </c>
      <c r="I26" s="26">
        <v>259</v>
      </c>
      <c r="J26" s="26">
        <f t="shared" si="0"/>
        <v>143.57</v>
      </c>
      <c r="K26" s="27">
        <v>115.43</v>
      </c>
      <c r="L26" s="28"/>
    </row>
    <row r="27" spans="1:22" x14ac:dyDescent="0.25">
      <c r="A27" s="29"/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x14ac:dyDescent="0.25">
      <c r="A29" s="38"/>
      <c r="B29" s="38"/>
      <c r="C29" s="38"/>
      <c r="D29" s="38"/>
      <c r="E29" s="39"/>
      <c r="F29" s="38"/>
      <c r="G29" s="38"/>
      <c r="H29" s="38"/>
      <c r="I29" s="40"/>
      <c r="J29" s="38"/>
      <c r="K29" s="38"/>
      <c r="L29" s="28"/>
    </row>
    <row r="30" spans="1:22" ht="15.75" thickBot="1" x14ac:dyDescent="0.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33"/>
    </row>
    <row r="31" spans="1:22" ht="16.5" thickTop="1" x14ac:dyDescent="0.25">
      <c r="A31" s="48" t="s">
        <v>41</v>
      </c>
      <c r="B31" s="48"/>
      <c r="C31" s="49"/>
      <c r="D31" s="49"/>
      <c r="E31" s="49"/>
      <c r="F31" s="49"/>
      <c r="G31" s="35"/>
      <c r="H31" s="35"/>
      <c r="I31" s="35"/>
      <c r="J31" s="35"/>
      <c r="K31" s="36">
        <f>SUM(K25:K26)</f>
        <v>188.87</v>
      </c>
      <c r="L31" s="35"/>
    </row>
    <row r="32" spans="1:22" x14ac:dyDescent="0.25">
      <c r="K32" s="41" t="s">
        <v>20</v>
      </c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0:K30"/>
    <mergeCell ref="A31:B31"/>
    <mergeCell ref="C31:D31"/>
    <mergeCell ref="E31:F31"/>
    <mergeCell ref="G23:G24"/>
    <mergeCell ref="H23:H24"/>
    <mergeCell ref="A30:B30"/>
    <mergeCell ref="C30:D30"/>
    <mergeCell ref="E30:F30"/>
    <mergeCell ref="G30:I30"/>
    <mergeCell ref="I23:I24"/>
    <mergeCell ref="J23:J24"/>
    <mergeCell ref="K23:K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CC2A-79E8-4B8E-A8E4-250ACDA1398E}">
  <sheetPr>
    <tabColor rgb="FFFFFF00"/>
  </sheetPr>
  <dimension ref="A1:V30"/>
  <sheetViews>
    <sheetView topLeftCell="A14" workbookViewId="0">
      <selection activeCell="B18" sqref="B18:B20"/>
    </sheetView>
  </sheetViews>
  <sheetFormatPr defaultRowHeight="15" x14ac:dyDescent="0.25"/>
  <cols>
    <col min="1" max="1" width="17" customWidth="1"/>
    <col min="2" max="2" width="13.710937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99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100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thickBot="1" x14ac:dyDescent="0.3">
      <c r="A19" s="11" t="s">
        <v>18</v>
      </c>
      <c r="B19" s="12">
        <v>2003443584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4253110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4637348</v>
      </c>
      <c r="C25" t="s">
        <v>101</v>
      </c>
      <c r="D25" s="25">
        <v>19237</v>
      </c>
      <c r="E25" t="s">
        <v>102</v>
      </c>
      <c r="F25" s="25">
        <v>45944</v>
      </c>
      <c r="G25">
        <v>7417726</v>
      </c>
      <c r="H25" t="s">
        <v>91</v>
      </c>
      <c r="I25" s="26">
        <v>259</v>
      </c>
      <c r="J25" s="26">
        <f t="shared" ref="J25:J26" si="0">I25-K25</f>
        <v>143.57</v>
      </c>
      <c r="K25" s="27">
        <v>115.43</v>
      </c>
      <c r="L25" s="28"/>
    </row>
    <row r="26" spans="1:22" x14ac:dyDescent="0.25">
      <c r="A26">
        <v>510</v>
      </c>
      <c r="B26">
        <v>4637348</v>
      </c>
      <c r="C26" t="s">
        <v>101</v>
      </c>
      <c r="D26" s="25">
        <v>19237</v>
      </c>
      <c r="E26" t="s">
        <v>102</v>
      </c>
      <c r="F26" s="25">
        <v>45944</v>
      </c>
      <c r="G26">
        <v>7126026</v>
      </c>
      <c r="H26" t="s">
        <v>85</v>
      </c>
      <c r="I26" s="26">
        <v>165</v>
      </c>
      <c r="J26" s="26">
        <f t="shared" si="0"/>
        <v>91.56</v>
      </c>
      <c r="K26" s="27">
        <v>73.44</v>
      </c>
      <c r="L26" s="28"/>
    </row>
    <row r="27" spans="1:22" x14ac:dyDescent="0.25">
      <c r="A27" s="29"/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SUM(K25:K26)</f>
        <v>188.87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90E6-64B8-42B0-B70C-DD89ACF66FB5}">
  <sheetPr>
    <tabColor rgb="FFFFFF00"/>
  </sheetPr>
  <dimension ref="A1:V35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11" max="11" width="11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103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104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105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4279290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4672898</v>
      </c>
      <c r="C25" t="s">
        <v>106</v>
      </c>
      <c r="D25" s="25">
        <v>17220</v>
      </c>
      <c r="E25" t="s">
        <v>107</v>
      </c>
      <c r="F25" s="25">
        <v>45959</v>
      </c>
      <c r="G25">
        <v>99215</v>
      </c>
      <c r="H25" t="s">
        <v>108</v>
      </c>
      <c r="I25" s="26">
        <v>545</v>
      </c>
      <c r="J25" s="26">
        <f t="shared" ref="J25:J33" si="0">I25-K25</f>
        <v>303.23</v>
      </c>
      <c r="K25" s="27">
        <v>241.77</v>
      </c>
      <c r="L25" s="28"/>
    </row>
    <row r="26" spans="1:22" x14ac:dyDescent="0.25">
      <c r="A26">
        <v>510</v>
      </c>
      <c r="B26">
        <v>4645422</v>
      </c>
      <c r="C26" t="s">
        <v>106</v>
      </c>
      <c r="D26" s="25">
        <v>17220</v>
      </c>
      <c r="E26" t="s">
        <v>109</v>
      </c>
      <c r="F26" s="25">
        <v>45947</v>
      </c>
      <c r="G26">
        <v>731</v>
      </c>
      <c r="H26" t="s">
        <v>110</v>
      </c>
      <c r="I26" s="26">
        <v>780</v>
      </c>
      <c r="J26" s="26">
        <f t="shared" si="0"/>
        <v>611.66</v>
      </c>
      <c r="K26" s="27">
        <v>168.34</v>
      </c>
      <c r="L26" s="28"/>
    </row>
    <row r="27" spans="1:22" x14ac:dyDescent="0.25">
      <c r="A27">
        <v>510</v>
      </c>
      <c r="B27">
        <v>4657555</v>
      </c>
      <c r="C27" t="s">
        <v>106</v>
      </c>
      <c r="D27" s="25">
        <v>17220</v>
      </c>
      <c r="E27" t="s">
        <v>111</v>
      </c>
      <c r="F27" s="25">
        <v>45947</v>
      </c>
      <c r="G27">
        <v>99100</v>
      </c>
      <c r="H27" t="s">
        <v>112</v>
      </c>
      <c r="I27" s="26">
        <v>130</v>
      </c>
      <c r="J27" s="26">
        <f t="shared" si="0"/>
        <v>99.97</v>
      </c>
      <c r="K27" s="27">
        <v>30.03</v>
      </c>
      <c r="L27" s="28"/>
    </row>
    <row r="28" spans="1:22" x14ac:dyDescent="0.25">
      <c r="A28">
        <v>510</v>
      </c>
      <c r="B28">
        <v>4657555</v>
      </c>
      <c r="C28" t="s">
        <v>106</v>
      </c>
      <c r="D28" s="25">
        <v>17220</v>
      </c>
      <c r="E28" t="s">
        <v>111</v>
      </c>
      <c r="F28" s="25">
        <v>45947</v>
      </c>
      <c r="G28">
        <v>731</v>
      </c>
      <c r="H28" t="s">
        <v>110</v>
      </c>
      <c r="I28" s="26">
        <v>780</v>
      </c>
      <c r="J28" s="26">
        <f t="shared" si="0"/>
        <v>611.66</v>
      </c>
      <c r="K28" s="27">
        <v>168.34</v>
      </c>
      <c r="L28" s="28"/>
    </row>
    <row r="29" spans="1:22" x14ac:dyDescent="0.25">
      <c r="A29">
        <v>84</v>
      </c>
      <c r="B29">
        <v>7074562</v>
      </c>
      <c r="C29" t="s">
        <v>106</v>
      </c>
      <c r="D29" s="25">
        <v>17220</v>
      </c>
      <c r="E29" t="s">
        <v>39</v>
      </c>
      <c r="F29" s="25">
        <v>45944</v>
      </c>
      <c r="G29">
        <v>93010</v>
      </c>
      <c r="H29" t="s">
        <v>40</v>
      </c>
      <c r="I29" s="26">
        <v>25</v>
      </c>
      <c r="J29" s="26">
        <f t="shared" si="0"/>
        <v>14.26</v>
      </c>
      <c r="K29" s="27">
        <v>10.74</v>
      </c>
      <c r="L29" s="28"/>
    </row>
    <row r="30" spans="1:22" x14ac:dyDescent="0.25">
      <c r="A30">
        <v>84</v>
      </c>
      <c r="B30">
        <v>7098167</v>
      </c>
      <c r="C30" t="s">
        <v>106</v>
      </c>
      <c r="D30" s="25">
        <v>17220</v>
      </c>
      <c r="E30" t="s">
        <v>113</v>
      </c>
      <c r="F30" s="25">
        <v>45947</v>
      </c>
      <c r="G30">
        <v>43235</v>
      </c>
      <c r="H30" t="s">
        <v>114</v>
      </c>
      <c r="I30" s="26">
        <v>367</v>
      </c>
      <c r="J30" s="26">
        <f t="shared" si="0"/>
        <v>204.95</v>
      </c>
      <c r="K30" s="27">
        <v>162.05000000000001</v>
      </c>
      <c r="L30" s="28"/>
    </row>
    <row r="31" spans="1:22" x14ac:dyDescent="0.25">
      <c r="A31">
        <v>510</v>
      </c>
      <c r="B31">
        <v>4699744</v>
      </c>
      <c r="C31" t="s">
        <v>115</v>
      </c>
      <c r="D31" s="25">
        <v>20354</v>
      </c>
      <c r="E31" t="s">
        <v>116</v>
      </c>
      <c r="F31" s="25">
        <v>45973</v>
      </c>
      <c r="G31">
        <v>7126026</v>
      </c>
      <c r="H31" t="s">
        <v>85</v>
      </c>
      <c r="I31" s="26">
        <v>165</v>
      </c>
      <c r="J31" s="26">
        <f t="shared" si="0"/>
        <v>91.56</v>
      </c>
      <c r="K31" s="27">
        <v>73.44</v>
      </c>
      <c r="L31" s="28"/>
    </row>
    <row r="32" spans="1:22" x14ac:dyDescent="0.25">
      <c r="A32">
        <v>510</v>
      </c>
      <c r="B32">
        <v>4699472</v>
      </c>
      <c r="C32" t="s">
        <v>115</v>
      </c>
      <c r="D32" s="25">
        <v>20354</v>
      </c>
      <c r="E32" t="s">
        <v>117</v>
      </c>
      <c r="F32" s="25">
        <v>45973</v>
      </c>
      <c r="G32">
        <v>7418326</v>
      </c>
      <c r="H32" t="s">
        <v>118</v>
      </c>
      <c r="I32" s="26">
        <v>312</v>
      </c>
      <c r="J32" s="26">
        <f t="shared" si="0"/>
        <v>172.85</v>
      </c>
      <c r="K32" s="27">
        <v>139.15</v>
      </c>
      <c r="L32" s="28"/>
    </row>
    <row r="33" spans="1:12" x14ac:dyDescent="0.25">
      <c r="A33">
        <v>510</v>
      </c>
      <c r="B33">
        <v>4699472</v>
      </c>
      <c r="C33" t="s">
        <v>115</v>
      </c>
      <c r="D33" s="25">
        <v>20354</v>
      </c>
      <c r="E33" t="s">
        <v>117</v>
      </c>
      <c r="F33" s="25">
        <v>45973</v>
      </c>
      <c r="G33">
        <v>7219726</v>
      </c>
      <c r="H33" t="s">
        <v>119</v>
      </c>
      <c r="I33" s="26">
        <v>312</v>
      </c>
      <c r="J33" s="26">
        <f t="shared" si="0"/>
        <v>172.85</v>
      </c>
      <c r="K33" s="27">
        <v>139.15</v>
      </c>
      <c r="L33" s="28"/>
    </row>
    <row r="34" spans="1:12" ht="15.75" thickBot="1" x14ac:dyDescent="0.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33"/>
    </row>
    <row r="35" spans="1:12" ht="16.5" thickTop="1" x14ac:dyDescent="0.25">
      <c r="A35" s="48" t="s">
        <v>41</v>
      </c>
      <c r="B35" s="48"/>
      <c r="C35" s="49"/>
      <c r="D35" s="49"/>
      <c r="E35" s="49"/>
      <c r="F35" s="49"/>
      <c r="G35" s="35"/>
      <c r="H35" s="35"/>
      <c r="I35" s="35"/>
      <c r="J35" s="35"/>
      <c r="K35" s="36">
        <f>SUM(K25:K33)</f>
        <v>1133.01</v>
      </c>
      <c r="L35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4:K34"/>
    <mergeCell ref="A35:B35"/>
    <mergeCell ref="C35:D35"/>
    <mergeCell ref="E35:F35"/>
    <mergeCell ref="G23:G24"/>
    <mergeCell ref="H23:H24"/>
    <mergeCell ref="A34:B34"/>
    <mergeCell ref="C34:D34"/>
    <mergeCell ref="E34:F34"/>
    <mergeCell ref="G34:I34"/>
    <mergeCell ref="I23:I24"/>
    <mergeCell ref="J23:J24"/>
    <mergeCell ref="K23:K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43E6-B49B-468B-B938-366CE591D4A1}">
  <sheetPr>
    <tabColor rgb="FFFFFF00"/>
  </sheetPr>
  <dimension ref="A1:V33"/>
  <sheetViews>
    <sheetView topLeftCell="A12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120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121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122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4274840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7117206</v>
      </c>
      <c r="C25" t="s">
        <v>123</v>
      </c>
      <c r="D25" s="25">
        <v>22441</v>
      </c>
      <c r="E25" t="s">
        <v>39</v>
      </c>
      <c r="F25" s="25">
        <v>45957</v>
      </c>
      <c r="G25">
        <v>93010</v>
      </c>
      <c r="H25" t="s">
        <v>40</v>
      </c>
      <c r="I25" s="26">
        <v>25</v>
      </c>
      <c r="J25" s="26">
        <f t="shared" ref="J25:J31" si="0">I25-K25</f>
        <v>14.26</v>
      </c>
      <c r="K25" s="27">
        <v>10.74</v>
      </c>
      <c r="L25" s="28"/>
    </row>
    <row r="26" spans="1:22" x14ac:dyDescent="0.25">
      <c r="A26">
        <v>84</v>
      </c>
      <c r="B26">
        <v>7174918</v>
      </c>
      <c r="C26" t="s">
        <v>124</v>
      </c>
      <c r="D26" s="25">
        <v>26772</v>
      </c>
      <c r="E26" t="s">
        <v>39</v>
      </c>
      <c r="F26" s="25">
        <v>45974</v>
      </c>
      <c r="G26">
        <v>93010</v>
      </c>
      <c r="H26" t="s">
        <v>40</v>
      </c>
      <c r="I26" s="26">
        <v>25</v>
      </c>
      <c r="J26" s="26">
        <f t="shared" si="0"/>
        <v>14.26</v>
      </c>
      <c r="K26" s="27">
        <v>10.74</v>
      </c>
      <c r="L26" s="28"/>
    </row>
    <row r="27" spans="1:22" x14ac:dyDescent="0.25">
      <c r="A27">
        <v>84</v>
      </c>
      <c r="B27">
        <v>6960162</v>
      </c>
      <c r="C27" t="s">
        <v>124</v>
      </c>
      <c r="D27" s="25">
        <v>26772</v>
      </c>
      <c r="E27" t="s">
        <v>71</v>
      </c>
      <c r="F27" s="25">
        <v>45890</v>
      </c>
      <c r="G27">
        <v>93010</v>
      </c>
      <c r="H27" t="s">
        <v>40</v>
      </c>
      <c r="I27" s="26">
        <v>22</v>
      </c>
      <c r="J27" s="26">
        <f t="shared" si="0"/>
        <v>11.26</v>
      </c>
      <c r="K27" s="27">
        <v>10.74</v>
      </c>
      <c r="L27" s="28"/>
    </row>
    <row r="28" spans="1:22" x14ac:dyDescent="0.25">
      <c r="A28">
        <v>84</v>
      </c>
      <c r="B28">
        <v>7117345</v>
      </c>
      <c r="C28" t="s">
        <v>125</v>
      </c>
      <c r="D28" s="25">
        <v>19792</v>
      </c>
      <c r="E28" t="s">
        <v>39</v>
      </c>
      <c r="F28" s="25">
        <v>45957</v>
      </c>
      <c r="G28">
        <v>93010</v>
      </c>
      <c r="H28" t="s">
        <v>40</v>
      </c>
      <c r="I28" s="26">
        <v>25</v>
      </c>
      <c r="J28" s="26">
        <f t="shared" si="0"/>
        <v>14.26</v>
      </c>
      <c r="K28" s="27">
        <v>10.74</v>
      </c>
      <c r="L28" s="28"/>
    </row>
    <row r="29" spans="1:22" x14ac:dyDescent="0.25">
      <c r="A29">
        <v>84</v>
      </c>
      <c r="B29">
        <v>7135568</v>
      </c>
      <c r="C29" t="s">
        <v>125</v>
      </c>
      <c r="D29" s="25">
        <v>19792</v>
      </c>
      <c r="E29" t="s">
        <v>90</v>
      </c>
      <c r="F29" s="25">
        <v>45961</v>
      </c>
      <c r="G29" t="s">
        <v>92</v>
      </c>
      <c r="H29" t="s">
        <v>93</v>
      </c>
      <c r="I29" s="26">
        <v>40</v>
      </c>
      <c r="J29" s="26">
        <f t="shared" si="0"/>
        <v>22.98</v>
      </c>
      <c r="K29" s="27">
        <v>17.02</v>
      </c>
      <c r="L29" s="28"/>
    </row>
    <row r="30" spans="1:22" x14ac:dyDescent="0.25">
      <c r="A30">
        <v>84</v>
      </c>
      <c r="B30">
        <v>7135568</v>
      </c>
      <c r="C30" t="s">
        <v>125</v>
      </c>
      <c r="D30" s="25">
        <v>19792</v>
      </c>
      <c r="E30" t="s">
        <v>90</v>
      </c>
      <c r="F30" s="25">
        <v>45961</v>
      </c>
      <c r="G30">
        <v>71260</v>
      </c>
      <c r="H30" t="s">
        <v>85</v>
      </c>
      <c r="I30" s="26">
        <v>510</v>
      </c>
      <c r="J30" s="26">
        <f t="shared" si="0"/>
        <v>284.77</v>
      </c>
      <c r="K30" s="27">
        <v>225.23</v>
      </c>
      <c r="L30" s="28"/>
    </row>
    <row r="31" spans="1:22" x14ac:dyDescent="0.25">
      <c r="A31">
        <v>84</v>
      </c>
      <c r="B31">
        <v>7135568</v>
      </c>
      <c r="C31" t="s">
        <v>125</v>
      </c>
      <c r="D31" s="25">
        <v>19792</v>
      </c>
      <c r="E31" t="s">
        <v>90</v>
      </c>
      <c r="F31" s="25">
        <v>45961</v>
      </c>
      <c r="G31">
        <v>74177</v>
      </c>
      <c r="H31" t="s">
        <v>91</v>
      </c>
      <c r="I31" s="26">
        <v>922</v>
      </c>
      <c r="J31" s="26">
        <f t="shared" si="0"/>
        <v>514.83999999999992</v>
      </c>
      <c r="K31" s="27">
        <v>407.16</v>
      </c>
      <c r="L31" s="28"/>
    </row>
    <row r="32" spans="1:22" ht="15.75" thickBot="1" x14ac:dyDescent="0.3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33"/>
    </row>
    <row r="33" spans="1:12" ht="16.5" thickTop="1" x14ac:dyDescent="0.25">
      <c r="A33" s="48" t="s">
        <v>41</v>
      </c>
      <c r="B33" s="48"/>
      <c r="C33" s="49"/>
      <c r="D33" s="49"/>
      <c r="E33" s="49"/>
      <c r="F33" s="49"/>
      <c r="G33" s="35"/>
      <c r="H33" s="35"/>
      <c r="I33" s="35"/>
      <c r="J33" s="35"/>
      <c r="K33" s="36">
        <f>SUM(K25:K31)</f>
        <v>692.37</v>
      </c>
      <c r="L33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2:K32"/>
    <mergeCell ref="A33:B33"/>
    <mergeCell ref="C33:D33"/>
    <mergeCell ref="E33:F33"/>
    <mergeCell ref="G23:G24"/>
    <mergeCell ref="H23:H24"/>
    <mergeCell ref="A32:B32"/>
    <mergeCell ref="C32:D32"/>
    <mergeCell ref="E32:F32"/>
    <mergeCell ref="G32:I32"/>
    <mergeCell ref="I23:I24"/>
    <mergeCell ref="J23:J24"/>
    <mergeCell ref="K23:K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C33D-7946-4FF6-A39D-D0B72089279B}">
  <sheetPr>
    <tabColor rgb="FFFFFF00"/>
  </sheetPr>
  <dimension ref="A1:V31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126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127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128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4278250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4695204</v>
      </c>
      <c r="C25" t="s">
        <v>129</v>
      </c>
      <c r="D25" s="25">
        <v>20198</v>
      </c>
      <c r="E25" t="s">
        <v>116</v>
      </c>
      <c r="F25" s="25">
        <v>45971</v>
      </c>
      <c r="G25">
        <v>7126026</v>
      </c>
      <c r="H25" t="s">
        <v>85</v>
      </c>
      <c r="I25" s="26">
        <v>165</v>
      </c>
      <c r="J25" s="26">
        <f t="shared" ref="J25:J29" si="0">I25-K25</f>
        <v>91.56</v>
      </c>
      <c r="K25" s="27">
        <v>73.44</v>
      </c>
      <c r="L25" s="28"/>
    </row>
    <row r="26" spans="1:22" x14ac:dyDescent="0.25">
      <c r="A26">
        <v>510</v>
      </c>
      <c r="B26">
        <v>4699597</v>
      </c>
      <c r="C26" t="s">
        <v>129</v>
      </c>
      <c r="D26" s="25">
        <v>20198</v>
      </c>
      <c r="E26" t="s">
        <v>90</v>
      </c>
      <c r="F26" s="25">
        <v>45971</v>
      </c>
      <c r="G26">
        <v>7416026</v>
      </c>
      <c r="H26" t="s">
        <v>83</v>
      </c>
      <c r="I26" s="26">
        <v>180</v>
      </c>
      <c r="J26" s="26">
        <f t="shared" si="0"/>
        <v>99.86</v>
      </c>
      <c r="K26" s="27">
        <v>80.14</v>
      </c>
      <c r="L26" s="28"/>
    </row>
    <row r="27" spans="1:22" x14ac:dyDescent="0.25">
      <c r="A27">
        <v>84</v>
      </c>
      <c r="B27">
        <v>7160689</v>
      </c>
      <c r="C27" t="s">
        <v>129</v>
      </c>
      <c r="D27" s="25">
        <v>20198</v>
      </c>
      <c r="E27" t="s">
        <v>130</v>
      </c>
      <c r="F27" s="25">
        <v>45973</v>
      </c>
      <c r="G27">
        <v>92004</v>
      </c>
      <c r="H27" t="s">
        <v>131</v>
      </c>
      <c r="I27" s="26">
        <v>444</v>
      </c>
      <c r="J27" s="26">
        <f t="shared" si="0"/>
        <v>247.01</v>
      </c>
      <c r="K27" s="27">
        <v>196.99</v>
      </c>
      <c r="L27" s="28"/>
    </row>
    <row r="28" spans="1:22" x14ac:dyDescent="0.25">
      <c r="A28">
        <v>84</v>
      </c>
      <c r="B28">
        <v>7160689</v>
      </c>
      <c r="C28" t="s">
        <v>129</v>
      </c>
      <c r="D28" s="25">
        <v>20198</v>
      </c>
      <c r="E28" t="s">
        <v>130</v>
      </c>
      <c r="F28" s="25">
        <v>45973</v>
      </c>
      <c r="G28">
        <v>92134</v>
      </c>
      <c r="H28" t="s">
        <v>132</v>
      </c>
      <c r="I28" s="26">
        <v>98</v>
      </c>
      <c r="J28" s="26">
        <f t="shared" si="0"/>
        <v>54.92</v>
      </c>
      <c r="K28" s="27">
        <v>43.08</v>
      </c>
      <c r="L28" s="28"/>
    </row>
    <row r="29" spans="1:22" x14ac:dyDescent="0.25">
      <c r="A29">
        <v>84</v>
      </c>
      <c r="B29">
        <v>7160689</v>
      </c>
      <c r="C29" t="s">
        <v>129</v>
      </c>
      <c r="D29" s="25">
        <v>20198</v>
      </c>
      <c r="E29" t="s">
        <v>130</v>
      </c>
      <c r="F29" s="25">
        <v>45973</v>
      </c>
      <c r="G29">
        <v>92250</v>
      </c>
      <c r="H29" t="s">
        <v>133</v>
      </c>
      <c r="I29" s="26">
        <v>111</v>
      </c>
      <c r="J29" s="26">
        <f t="shared" si="0"/>
        <v>62.08</v>
      </c>
      <c r="K29" s="27">
        <v>48.92</v>
      </c>
      <c r="L29" s="28"/>
    </row>
    <row r="30" spans="1:22" ht="15.75" thickBot="1" x14ac:dyDescent="0.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33"/>
    </row>
    <row r="31" spans="1:22" ht="16.5" thickTop="1" x14ac:dyDescent="0.25">
      <c r="A31" s="48" t="s">
        <v>41</v>
      </c>
      <c r="B31" s="48"/>
      <c r="C31" s="49"/>
      <c r="D31" s="49"/>
      <c r="E31" s="49"/>
      <c r="F31" s="49"/>
      <c r="G31" s="35"/>
      <c r="H31" s="35"/>
      <c r="I31" s="35"/>
      <c r="J31" s="35"/>
      <c r="K31" s="36">
        <f>SUM(K25:K29)</f>
        <v>442.57</v>
      </c>
      <c r="L31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0:K30"/>
    <mergeCell ref="A31:B31"/>
    <mergeCell ref="C31:D31"/>
    <mergeCell ref="E31:F31"/>
    <mergeCell ref="G23:G24"/>
    <mergeCell ref="H23:H24"/>
    <mergeCell ref="A30:B30"/>
    <mergeCell ref="C30:D30"/>
    <mergeCell ref="E30:F30"/>
    <mergeCell ref="G30:I30"/>
    <mergeCell ref="I23:I24"/>
    <mergeCell ref="J23:J24"/>
    <mergeCell ref="K23:K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F1A8-8801-4057-88F3-108095B74F26}">
  <sheetPr>
    <tabColor rgb="FFFFFF00"/>
  </sheetPr>
  <dimension ref="A1:V31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4" max="4" width="12.570312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134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135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136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4272350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7071805</v>
      </c>
      <c r="C25" t="s">
        <v>137</v>
      </c>
      <c r="D25" s="25">
        <v>15865</v>
      </c>
      <c r="E25" t="s">
        <v>39</v>
      </c>
      <c r="F25" s="25">
        <v>45909</v>
      </c>
      <c r="G25">
        <v>93005</v>
      </c>
      <c r="H25" t="s">
        <v>138</v>
      </c>
      <c r="I25" s="26">
        <v>22</v>
      </c>
      <c r="J25" s="26">
        <f t="shared" ref="J25:J29" si="0">I25-K25</f>
        <v>13.67</v>
      </c>
      <c r="K25" s="27">
        <v>8.33</v>
      </c>
      <c r="L25" s="28"/>
    </row>
    <row r="26" spans="1:22" x14ac:dyDescent="0.25">
      <c r="A26">
        <v>84</v>
      </c>
      <c r="B26">
        <v>7085092</v>
      </c>
      <c r="C26" t="s">
        <v>137</v>
      </c>
      <c r="D26" s="25">
        <v>15865</v>
      </c>
      <c r="E26" t="s">
        <v>39</v>
      </c>
      <c r="F26" s="25">
        <v>45944</v>
      </c>
      <c r="G26">
        <v>93005</v>
      </c>
      <c r="H26" t="s">
        <v>138</v>
      </c>
      <c r="I26" s="26">
        <v>20</v>
      </c>
      <c r="J26" s="26">
        <f t="shared" si="0"/>
        <v>11.67</v>
      </c>
      <c r="K26" s="27">
        <v>8.33</v>
      </c>
      <c r="L26" s="28"/>
    </row>
    <row r="27" spans="1:22" x14ac:dyDescent="0.25">
      <c r="A27">
        <v>84</v>
      </c>
      <c r="B27">
        <v>7095440</v>
      </c>
      <c r="C27" t="s">
        <v>137</v>
      </c>
      <c r="D27" s="25">
        <v>15865</v>
      </c>
      <c r="E27" t="s">
        <v>71</v>
      </c>
      <c r="F27" s="25">
        <v>45950</v>
      </c>
      <c r="G27">
        <v>93010</v>
      </c>
      <c r="H27" t="s">
        <v>40</v>
      </c>
      <c r="I27" s="26">
        <v>25</v>
      </c>
      <c r="J27" s="26">
        <f t="shared" si="0"/>
        <v>14.26</v>
      </c>
      <c r="K27" s="27">
        <v>10.74</v>
      </c>
      <c r="L27" s="28"/>
    </row>
    <row r="28" spans="1:22" x14ac:dyDescent="0.25">
      <c r="A28">
        <v>84</v>
      </c>
      <c r="B28">
        <v>7158027</v>
      </c>
      <c r="C28" t="s">
        <v>139</v>
      </c>
      <c r="D28" s="25">
        <v>19718</v>
      </c>
      <c r="E28" t="s">
        <v>71</v>
      </c>
      <c r="F28" s="25">
        <v>45966</v>
      </c>
      <c r="G28">
        <v>93010</v>
      </c>
      <c r="H28" t="s">
        <v>40</v>
      </c>
      <c r="I28" s="26">
        <v>25</v>
      </c>
      <c r="J28" s="26">
        <f t="shared" si="0"/>
        <v>14.26</v>
      </c>
      <c r="K28" s="27">
        <v>10.74</v>
      </c>
      <c r="L28" s="28"/>
    </row>
    <row r="29" spans="1:22" x14ac:dyDescent="0.25">
      <c r="A29">
        <v>84</v>
      </c>
      <c r="B29">
        <v>7058471</v>
      </c>
      <c r="C29" t="s">
        <v>139</v>
      </c>
      <c r="D29" s="25">
        <v>19718</v>
      </c>
      <c r="E29" t="s">
        <v>71</v>
      </c>
      <c r="F29" s="25">
        <v>45938</v>
      </c>
      <c r="G29">
        <v>93010</v>
      </c>
      <c r="H29" t="s">
        <v>40</v>
      </c>
      <c r="I29" s="26">
        <v>25</v>
      </c>
      <c r="J29" s="26">
        <f t="shared" si="0"/>
        <v>14.26</v>
      </c>
      <c r="K29" s="27">
        <v>10.74</v>
      </c>
      <c r="L29" s="28"/>
    </row>
    <row r="30" spans="1:22" ht="15.75" thickBot="1" x14ac:dyDescent="0.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33"/>
    </row>
    <row r="31" spans="1:22" ht="16.5" thickTop="1" x14ac:dyDescent="0.25">
      <c r="A31" s="48" t="s">
        <v>41</v>
      </c>
      <c r="B31" s="48"/>
      <c r="C31" s="49"/>
      <c r="D31" s="49"/>
      <c r="E31" s="49"/>
      <c r="F31" s="49"/>
      <c r="G31" s="35"/>
      <c r="H31" s="35"/>
      <c r="I31" s="35"/>
      <c r="J31" s="35"/>
      <c r="K31" s="36">
        <f>SUM(K25:K29)</f>
        <v>48.88</v>
      </c>
      <c r="L31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0:K30"/>
    <mergeCell ref="A31:B31"/>
    <mergeCell ref="C31:D31"/>
    <mergeCell ref="E31:F31"/>
    <mergeCell ref="G23:G24"/>
    <mergeCell ref="H23:H24"/>
    <mergeCell ref="A30:B30"/>
    <mergeCell ref="C30:D30"/>
    <mergeCell ref="E30:F30"/>
    <mergeCell ref="G30:I30"/>
    <mergeCell ref="I23:I24"/>
    <mergeCell ref="J23:J24"/>
    <mergeCell ref="K23:K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DC1E-A7C5-4E64-A991-627A3EEDA1A5}">
  <sheetPr>
    <tabColor rgb="FFFFFF00"/>
  </sheetPr>
  <dimension ref="A1:V30"/>
  <sheetViews>
    <sheetView topLeftCell="A10" workbookViewId="0">
      <selection activeCell="B18" sqref="B18:B20"/>
    </sheetView>
  </sheetViews>
  <sheetFormatPr defaultRowHeight="15" x14ac:dyDescent="0.25"/>
  <cols>
    <col min="1" max="1" width="17" customWidth="1"/>
    <col min="3" max="3" width="16.140625" customWidth="1"/>
    <col min="4" max="4" width="10.42578125" bestFit="1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140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141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142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4265090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 s="29">
        <v>84</v>
      </c>
      <c r="B25" s="30">
        <v>7001848</v>
      </c>
      <c r="C25" s="30" t="s">
        <v>143</v>
      </c>
      <c r="D25" s="42">
        <v>17881</v>
      </c>
      <c r="E25" s="30" t="s">
        <v>71</v>
      </c>
      <c r="F25" s="42">
        <v>45917</v>
      </c>
      <c r="G25" s="31">
        <v>93010</v>
      </c>
      <c r="H25" s="30" t="s">
        <v>40</v>
      </c>
      <c r="I25" s="43">
        <v>22</v>
      </c>
      <c r="J25" s="43">
        <v>11.26</v>
      </c>
      <c r="K25" s="44">
        <v>10.74</v>
      </c>
      <c r="L25" s="28"/>
    </row>
    <row r="26" spans="1:22" x14ac:dyDescent="0.25">
      <c r="A26" s="29"/>
      <c r="B26" s="30"/>
      <c r="C26" s="30"/>
      <c r="D26" s="30"/>
      <c r="E26" s="30"/>
      <c r="F26" s="30"/>
      <c r="G26" s="31"/>
      <c r="H26" s="30"/>
      <c r="I26" s="30"/>
      <c r="J26" s="30"/>
      <c r="K26" s="30"/>
      <c r="L26" s="28"/>
    </row>
    <row r="27" spans="1:22" x14ac:dyDescent="0.25">
      <c r="A27" s="29"/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7">
        <v>10.74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28D4-B5EC-46C9-BA1D-FF77053DC4B1}">
  <sheetPr>
    <tabColor rgb="FFFFFF00"/>
  </sheetPr>
  <dimension ref="A1:V31"/>
  <sheetViews>
    <sheetView topLeftCell="A12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9" max="9" width="9.57031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144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145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146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4278790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7103587</v>
      </c>
      <c r="C25" t="s">
        <v>147</v>
      </c>
      <c r="D25" s="25">
        <v>18070</v>
      </c>
      <c r="E25" t="s">
        <v>39</v>
      </c>
      <c r="F25" s="25">
        <v>45954</v>
      </c>
      <c r="G25">
        <v>93010</v>
      </c>
      <c r="H25" t="s">
        <v>40</v>
      </c>
      <c r="I25" s="26">
        <v>25</v>
      </c>
      <c r="J25" s="26">
        <f t="shared" ref="J25:J29" si="0">I25-K25</f>
        <v>14.26</v>
      </c>
      <c r="K25" s="27">
        <v>10.74</v>
      </c>
      <c r="L25" s="28"/>
    </row>
    <row r="26" spans="1:22" x14ac:dyDescent="0.25">
      <c r="A26">
        <v>84</v>
      </c>
      <c r="B26">
        <v>7103587</v>
      </c>
      <c r="C26" t="s">
        <v>147</v>
      </c>
      <c r="D26" s="25">
        <v>18070</v>
      </c>
      <c r="E26" t="s">
        <v>39</v>
      </c>
      <c r="F26" s="25">
        <v>45954</v>
      </c>
      <c r="G26">
        <v>9301076</v>
      </c>
      <c r="H26" t="s">
        <v>40</v>
      </c>
      <c r="I26" s="26">
        <v>25</v>
      </c>
      <c r="J26" s="26">
        <f t="shared" si="0"/>
        <v>14.26</v>
      </c>
      <c r="K26" s="27">
        <v>10.74</v>
      </c>
      <c r="L26" s="28"/>
    </row>
    <row r="27" spans="1:22" x14ac:dyDescent="0.25">
      <c r="A27">
        <v>84</v>
      </c>
      <c r="B27">
        <v>7130184</v>
      </c>
      <c r="C27" t="s">
        <v>147</v>
      </c>
      <c r="D27" s="25">
        <v>18070</v>
      </c>
      <c r="E27" t="s">
        <v>148</v>
      </c>
      <c r="F27" s="25">
        <v>45961</v>
      </c>
      <c r="G27">
        <v>74183</v>
      </c>
      <c r="H27" t="s">
        <v>118</v>
      </c>
      <c r="I27" s="26">
        <v>1031</v>
      </c>
      <c r="J27" s="26">
        <f t="shared" si="0"/>
        <v>575.44000000000005</v>
      </c>
      <c r="K27" s="27">
        <v>455.56</v>
      </c>
      <c r="L27" s="28"/>
    </row>
    <row r="28" spans="1:22" x14ac:dyDescent="0.25">
      <c r="A28">
        <v>84</v>
      </c>
      <c r="B28">
        <v>7130184</v>
      </c>
      <c r="C28" t="s">
        <v>147</v>
      </c>
      <c r="D28" s="25">
        <v>18070</v>
      </c>
      <c r="E28" t="s">
        <v>148</v>
      </c>
      <c r="F28" s="25">
        <v>45961</v>
      </c>
      <c r="G28">
        <v>72197</v>
      </c>
      <c r="H28" t="s">
        <v>119</v>
      </c>
      <c r="I28" s="26">
        <v>1027</v>
      </c>
      <c r="J28" s="26">
        <f t="shared" si="0"/>
        <v>573.20000000000005</v>
      </c>
      <c r="K28" s="27">
        <v>453.8</v>
      </c>
      <c r="L28" s="28"/>
    </row>
    <row r="29" spans="1:22" x14ac:dyDescent="0.25">
      <c r="A29">
        <v>84</v>
      </c>
      <c r="B29">
        <v>7130184</v>
      </c>
      <c r="C29" t="s">
        <v>147</v>
      </c>
      <c r="D29" s="25">
        <v>18070</v>
      </c>
      <c r="E29" t="s">
        <v>148</v>
      </c>
      <c r="F29" s="25">
        <v>45961</v>
      </c>
      <c r="G29" t="s">
        <v>149</v>
      </c>
      <c r="H29" t="s">
        <v>150</v>
      </c>
      <c r="I29" s="26">
        <v>43.2</v>
      </c>
      <c r="J29" s="26">
        <f t="shared" si="0"/>
        <v>23.67</v>
      </c>
      <c r="K29" s="27">
        <v>19.53</v>
      </c>
      <c r="L29" s="28"/>
    </row>
    <row r="30" spans="1:22" ht="15.75" thickBot="1" x14ac:dyDescent="0.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33"/>
    </row>
    <row r="31" spans="1:22" ht="16.5" thickTop="1" x14ac:dyDescent="0.25">
      <c r="A31" s="48" t="s">
        <v>41</v>
      </c>
      <c r="B31" s="48"/>
      <c r="C31" s="49"/>
      <c r="D31" s="49"/>
      <c r="E31" s="49"/>
      <c r="F31" s="49"/>
      <c r="G31" s="35"/>
      <c r="H31" s="35"/>
      <c r="I31" s="35"/>
      <c r="J31" s="35"/>
      <c r="K31" s="36">
        <f>SUM(K25:K29)</f>
        <v>950.37</v>
      </c>
      <c r="L31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0:K30"/>
    <mergeCell ref="A31:B31"/>
    <mergeCell ref="C31:D31"/>
    <mergeCell ref="E31:F31"/>
    <mergeCell ref="G23:G24"/>
    <mergeCell ref="H23:H24"/>
    <mergeCell ref="A30:B30"/>
    <mergeCell ref="C30:D30"/>
    <mergeCell ref="E30:F30"/>
    <mergeCell ref="G30:I30"/>
    <mergeCell ref="I23:I24"/>
    <mergeCell ref="J23:J24"/>
    <mergeCell ref="K23:K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F108-3230-444D-A22B-28EDCA50006D}">
  <sheetPr>
    <tabColor rgb="FFFFFF00"/>
  </sheetPr>
  <dimension ref="A1:V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9" max="9" width="10" customWidth="1"/>
    <col min="11" max="11" width="11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151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152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153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24.75" thickBot="1" x14ac:dyDescent="0.3">
      <c r="A20" s="15" t="s">
        <v>21</v>
      </c>
      <c r="B20" s="12">
        <v>4273410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45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6996244</v>
      </c>
      <c r="C25" t="s">
        <v>154</v>
      </c>
      <c r="D25" s="25">
        <v>26256</v>
      </c>
      <c r="E25" t="s">
        <v>155</v>
      </c>
      <c r="F25" s="25">
        <v>45917</v>
      </c>
      <c r="G25">
        <v>19083</v>
      </c>
      <c r="H25" t="s">
        <v>156</v>
      </c>
      <c r="I25" s="26">
        <v>1549</v>
      </c>
      <c r="J25" s="26">
        <f t="shared" ref="J25:J28" si="0">I25-K25</f>
        <v>911.33</v>
      </c>
      <c r="K25" s="27">
        <v>637.66999999999996</v>
      </c>
      <c r="L25" s="28"/>
    </row>
    <row r="26" spans="1:22" x14ac:dyDescent="0.25">
      <c r="A26">
        <v>84</v>
      </c>
      <c r="B26">
        <v>7098298</v>
      </c>
      <c r="C26" t="s">
        <v>157</v>
      </c>
      <c r="D26" s="25">
        <v>29533</v>
      </c>
      <c r="E26" t="s">
        <v>158</v>
      </c>
      <c r="F26" s="25">
        <v>45946</v>
      </c>
      <c r="G26">
        <v>77067</v>
      </c>
      <c r="H26" t="s">
        <v>159</v>
      </c>
      <c r="I26" s="26">
        <v>387</v>
      </c>
      <c r="J26" s="26">
        <f t="shared" si="0"/>
        <v>216.42</v>
      </c>
      <c r="K26" s="27">
        <v>170.58</v>
      </c>
      <c r="L26" s="28"/>
    </row>
    <row r="27" spans="1:22" x14ac:dyDescent="0.25">
      <c r="A27">
        <v>84</v>
      </c>
      <c r="B27">
        <v>7098300</v>
      </c>
      <c r="C27" t="s">
        <v>157</v>
      </c>
      <c r="D27" s="25">
        <v>29533</v>
      </c>
      <c r="E27" t="s">
        <v>158</v>
      </c>
      <c r="F27" s="25">
        <v>45946</v>
      </c>
      <c r="G27">
        <v>19083</v>
      </c>
      <c r="H27" t="s">
        <v>156</v>
      </c>
      <c r="I27" s="26">
        <v>1444</v>
      </c>
      <c r="J27" s="26">
        <f t="shared" si="0"/>
        <v>806.33</v>
      </c>
      <c r="K27" s="27">
        <v>637.66999999999996</v>
      </c>
      <c r="L27" s="28"/>
    </row>
    <row r="28" spans="1:22" x14ac:dyDescent="0.25">
      <c r="A28">
        <v>84</v>
      </c>
      <c r="B28">
        <v>7098300</v>
      </c>
      <c r="C28" t="s">
        <v>157</v>
      </c>
      <c r="D28" s="25">
        <v>29533</v>
      </c>
      <c r="E28" t="s">
        <v>158</v>
      </c>
      <c r="F28" s="25">
        <v>45946</v>
      </c>
      <c r="G28">
        <v>77063</v>
      </c>
      <c r="H28" t="s">
        <v>160</v>
      </c>
      <c r="I28" s="26">
        <v>158</v>
      </c>
      <c r="J28" s="26">
        <f t="shared" si="0"/>
        <v>88.17</v>
      </c>
      <c r="K28" s="27">
        <v>69.83</v>
      </c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SUM(K25:K28)</f>
        <v>1515.75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A6D0-FF19-4677-9C1B-E54F91B5F585}">
  <sheetPr>
    <tabColor rgb="FFFFFF00"/>
  </sheetPr>
  <dimension ref="A1:V31"/>
  <sheetViews>
    <sheetView topLeftCell="A13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9" max="9" width="10.85546875" customWidth="1"/>
    <col min="11" max="11" width="11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161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162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163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24.75" thickBot="1" x14ac:dyDescent="0.3">
      <c r="A20" s="15" t="s">
        <v>21</v>
      </c>
      <c r="B20" s="12">
        <v>4274890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7112901</v>
      </c>
      <c r="C25" t="s">
        <v>164</v>
      </c>
      <c r="D25" s="25">
        <v>23846</v>
      </c>
      <c r="E25" t="s">
        <v>116</v>
      </c>
      <c r="F25" s="25">
        <v>45958</v>
      </c>
      <c r="G25">
        <v>71260</v>
      </c>
      <c r="H25" t="s">
        <v>85</v>
      </c>
      <c r="I25" s="26">
        <v>510</v>
      </c>
      <c r="J25" s="26">
        <f t="shared" ref="J25:J29" si="0">I25-K25</f>
        <v>284.77</v>
      </c>
      <c r="K25" s="27">
        <v>225.23</v>
      </c>
      <c r="L25" s="28"/>
    </row>
    <row r="26" spans="1:22" x14ac:dyDescent="0.25">
      <c r="A26">
        <v>84</v>
      </c>
      <c r="B26">
        <v>7112901</v>
      </c>
      <c r="C26" t="s">
        <v>164</v>
      </c>
      <c r="D26" s="25">
        <v>23846</v>
      </c>
      <c r="E26" t="s">
        <v>116</v>
      </c>
      <c r="F26" s="25">
        <v>45958</v>
      </c>
      <c r="G26" t="s">
        <v>92</v>
      </c>
      <c r="H26" t="s">
        <v>93</v>
      </c>
      <c r="I26" s="26">
        <v>35</v>
      </c>
      <c r="J26" s="26">
        <f t="shared" si="0"/>
        <v>20.100000000000001</v>
      </c>
      <c r="K26" s="27">
        <v>14.9</v>
      </c>
      <c r="L26" s="28"/>
    </row>
    <row r="27" spans="1:22" x14ac:dyDescent="0.25">
      <c r="A27">
        <v>84</v>
      </c>
      <c r="B27">
        <v>7131747</v>
      </c>
      <c r="C27" t="s">
        <v>164</v>
      </c>
      <c r="D27" s="25">
        <v>23846</v>
      </c>
      <c r="E27" t="s">
        <v>165</v>
      </c>
      <c r="F27" s="25">
        <v>45958</v>
      </c>
      <c r="G27">
        <v>74183</v>
      </c>
      <c r="H27" t="s">
        <v>118</v>
      </c>
      <c r="I27" s="26">
        <v>1031</v>
      </c>
      <c r="J27" s="26">
        <f t="shared" si="0"/>
        <v>575.44000000000005</v>
      </c>
      <c r="K27" s="27">
        <v>455.56</v>
      </c>
      <c r="L27" s="28"/>
    </row>
    <row r="28" spans="1:22" x14ac:dyDescent="0.25">
      <c r="A28">
        <v>84</v>
      </c>
      <c r="B28">
        <v>7131749</v>
      </c>
      <c r="C28" t="s">
        <v>164</v>
      </c>
      <c r="D28" s="25">
        <v>23846</v>
      </c>
      <c r="E28" t="s">
        <v>165</v>
      </c>
      <c r="F28" s="25">
        <v>45958</v>
      </c>
      <c r="G28">
        <v>72197</v>
      </c>
      <c r="H28" t="s">
        <v>119</v>
      </c>
      <c r="I28" s="26">
        <v>1027</v>
      </c>
      <c r="J28" s="26">
        <f t="shared" si="0"/>
        <v>573.20000000000005</v>
      </c>
      <c r="K28" s="27">
        <v>453.8</v>
      </c>
      <c r="L28" s="28"/>
    </row>
    <row r="29" spans="1:22" x14ac:dyDescent="0.25">
      <c r="A29">
        <v>84</v>
      </c>
      <c r="B29">
        <v>7131753</v>
      </c>
      <c r="C29" t="s">
        <v>164</v>
      </c>
      <c r="D29" s="25">
        <v>23846</v>
      </c>
      <c r="E29" t="s">
        <v>165</v>
      </c>
      <c r="F29" s="25">
        <v>45958</v>
      </c>
      <c r="G29" t="s">
        <v>149</v>
      </c>
      <c r="H29" t="s">
        <v>150</v>
      </c>
      <c r="I29" s="26">
        <v>27</v>
      </c>
      <c r="J29" s="26">
        <f t="shared" si="0"/>
        <v>14.8</v>
      </c>
      <c r="K29" s="27">
        <v>12.2</v>
      </c>
      <c r="L29" s="28"/>
    </row>
    <row r="30" spans="1:22" ht="15.75" thickBot="1" x14ac:dyDescent="0.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33"/>
    </row>
    <row r="31" spans="1:22" ht="16.5" thickTop="1" x14ac:dyDescent="0.25">
      <c r="A31" s="48" t="s">
        <v>41</v>
      </c>
      <c r="B31" s="48"/>
      <c r="C31" s="49"/>
      <c r="D31" s="49"/>
      <c r="E31" s="49"/>
      <c r="F31" s="49"/>
      <c r="G31" s="35"/>
      <c r="H31" s="35"/>
      <c r="I31" s="35"/>
      <c r="J31" s="35"/>
      <c r="K31" s="36">
        <f>SUM(K25:K29)</f>
        <v>1161.69</v>
      </c>
      <c r="L31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0:K30"/>
    <mergeCell ref="A31:B31"/>
    <mergeCell ref="C31:D31"/>
    <mergeCell ref="E31:F31"/>
    <mergeCell ref="G23:G24"/>
    <mergeCell ref="H23:H24"/>
    <mergeCell ref="A30:B30"/>
    <mergeCell ref="C30:D30"/>
    <mergeCell ref="E30:F30"/>
    <mergeCell ref="G30:I30"/>
    <mergeCell ref="I23:I24"/>
    <mergeCell ref="J23:J24"/>
    <mergeCell ref="K23:K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F08F-3F6E-41D7-AC13-305547255CE8}">
  <sheetPr>
    <tabColor rgb="FFFFFF00"/>
  </sheetPr>
  <dimension ref="A1:V30"/>
  <sheetViews>
    <sheetView topLeftCell="A12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166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167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168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4274210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4679433</v>
      </c>
      <c r="C25" t="s">
        <v>169</v>
      </c>
      <c r="D25" s="25">
        <v>22549</v>
      </c>
      <c r="E25" t="s">
        <v>170</v>
      </c>
      <c r="F25" s="25">
        <v>45964</v>
      </c>
      <c r="G25">
        <v>7830626</v>
      </c>
      <c r="H25" t="s">
        <v>171</v>
      </c>
      <c r="I25" s="26">
        <v>120</v>
      </c>
      <c r="J25" s="26">
        <f t="shared" ref="J25:J27" si="0">I25-K25</f>
        <v>66.7</v>
      </c>
      <c r="K25" s="27">
        <v>53.3</v>
      </c>
      <c r="L25" s="28"/>
    </row>
    <row r="26" spans="1:22" x14ac:dyDescent="0.25">
      <c r="A26">
        <v>84</v>
      </c>
      <c r="B26">
        <v>7058470</v>
      </c>
      <c r="C26" t="s">
        <v>169</v>
      </c>
      <c r="D26" s="25">
        <v>22549</v>
      </c>
      <c r="E26" t="s">
        <v>71</v>
      </c>
      <c r="F26" s="25">
        <v>45938</v>
      </c>
      <c r="G26">
        <v>93010</v>
      </c>
      <c r="H26" t="s">
        <v>40</v>
      </c>
      <c r="I26" s="26">
        <v>25</v>
      </c>
      <c r="J26" s="26">
        <f t="shared" si="0"/>
        <v>14.26</v>
      </c>
      <c r="K26" s="27">
        <v>10.74</v>
      </c>
      <c r="L26" s="28"/>
    </row>
    <row r="27" spans="1:22" x14ac:dyDescent="0.25">
      <c r="A27">
        <v>84</v>
      </c>
      <c r="B27">
        <v>7157917</v>
      </c>
      <c r="C27" t="s">
        <v>169</v>
      </c>
      <c r="D27" s="25">
        <v>22549</v>
      </c>
      <c r="E27" t="s">
        <v>71</v>
      </c>
      <c r="F27" s="25">
        <v>45966</v>
      </c>
      <c r="G27">
        <v>93010</v>
      </c>
      <c r="H27" t="s">
        <v>40</v>
      </c>
      <c r="I27" s="26">
        <v>25</v>
      </c>
      <c r="J27" s="26">
        <f t="shared" si="0"/>
        <v>14.26</v>
      </c>
      <c r="K27" s="27">
        <v>10.74</v>
      </c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SUM(K25:K27)</f>
        <v>74.779999999999987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5660-C487-4565-81CE-4F906DD9350A}">
  <sheetPr>
    <tabColor rgb="FFFFFF00"/>
  </sheetPr>
  <dimension ref="A1:V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172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173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174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4262680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4693638</v>
      </c>
      <c r="C25" t="s">
        <v>175</v>
      </c>
      <c r="D25" s="25">
        <v>18722</v>
      </c>
      <c r="E25" t="s">
        <v>176</v>
      </c>
      <c r="F25" s="25">
        <v>45971</v>
      </c>
      <c r="G25">
        <v>7881526</v>
      </c>
      <c r="H25" t="s">
        <v>177</v>
      </c>
      <c r="I25" s="26">
        <v>338</v>
      </c>
      <c r="J25" s="26">
        <f t="shared" ref="J25:J26" si="0">I25-K25</f>
        <v>187.09</v>
      </c>
      <c r="K25" s="27">
        <v>150.91</v>
      </c>
      <c r="L25" s="28"/>
    </row>
    <row r="26" spans="1:22" x14ac:dyDescent="0.25">
      <c r="A26">
        <v>84</v>
      </c>
      <c r="B26">
        <v>7178353</v>
      </c>
      <c r="C26" t="s">
        <v>178</v>
      </c>
      <c r="D26" s="25">
        <v>18722</v>
      </c>
      <c r="E26" t="s">
        <v>39</v>
      </c>
      <c r="F26" s="25">
        <v>45974</v>
      </c>
      <c r="G26">
        <v>93010</v>
      </c>
      <c r="H26" t="s">
        <v>40</v>
      </c>
      <c r="I26" s="26">
        <v>25</v>
      </c>
      <c r="J26" s="26">
        <f t="shared" si="0"/>
        <v>14.26</v>
      </c>
      <c r="K26" s="27">
        <v>10.74</v>
      </c>
      <c r="L26" s="28"/>
    </row>
    <row r="27" spans="1:22" x14ac:dyDescent="0.25">
      <c r="A27" s="29"/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SUM(K25:K26)</f>
        <v>161.65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C07D-63A6-4386-B92F-7102F83CF8B3}">
  <sheetPr>
    <tabColor rgb="FFFFFF00"/>
  </sheetPr>
  <dimension ref="A1:V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179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x14ac:dyDescent="0.25">
      <c r="A18" s="11" t="s">
        <v>17</v>
      </c>
      <c r="B18" s="12" t="s">
        <v>180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181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4277450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7082805</v>
      </c>
      <c r="C25" t="s">
        <v>182</v>
      </c>
      <c r="D25" s="25">
        <v>24131</v>
      </c>
      <c r="E25" t="s">
        <v>183</v>
      </c>
      <c r="F25" s="25">
        <v>45948</v>
      </c>
      <c r="G25">
        <v>71260</v>
      </c>
      <c r="H25" t="s">
        <v>85</v>
      </c>
      <c r="I25" s="26">
        <v>510</v>
      </c>
      <c r="J25" s="26">
        <f t="shared" ref="J25:J28" si="0">I25-K25</f>
        <v>284.77</v>
      </c>
      <c r="K25" s="27">
        <v>225.23</v>
      </c>
      <c r="L25" s="28"/>
    </row>
    <row r="26" spans="1:22" x14ac:dyDescent="0.25">
      <c r="A26">
        <v>84</v>
      </c>
      <c r="B26">
        <v>7082805</v>
      </c>
      <c r="C26" t="s">
        <v>182</v>
      </c>
      <c r="D26" s="25">
        <v>24131</v>
      </c>
      <c r="E26" t="s">
        <v>183</v>
      </c>
      <c r="F26" s="25">
        <v>45948</v>
      </c>
      <c r="G26">
        <v>74177</v>
      </c>
      <c r="H26" t="s">
        <v>91</v>
      </c>
      <c r="I26" s="26">
        <v>922</v>
      </c>
      <c r="J26" s="26">
        <f t="shared" si="0"/>
        <v>514.83999999999992</v>
      </c>
      <c r="K26" s="27">
        <v>407.16</v>
      </c>
      <c r="L26" s="28"/>
    </row>
    <row r="27" spans="1:22" x14ac:dyDescent="0.25">
      <c r="A27">
        <v>84</v>
      </c>
      <c r="B27">
        <v>7082805</v>
      </c>
      <c r="C27" t="s">
        <v>182</v>
      </c>
      <c r="D27" s="25">
        <v>24131</v>
      </c>
      <c r="E27" t="s">
        <v>183</v>
      </c>
      <c r="F27" s="25">
        <v>45948</v>
      </c>
      <c r="G27" t="s">
        <v>92</v>
      </c>
      <c r="H27" t="s">
        <v>93</v>
      </c>
      <c r="I27" s="26">
        <v>32</v>
      </c>
      <c r="J27" s="26">
        <f t="shared" si="0"/>
        <v>14.98</v>
      </c>
      <c r="K27" s="27">
        <v>17.02</v>
      </c>
      <c r="L27" s="28"/>
    </row>
    <row r="28" spans="1:22" x14ac:dyDescent="0.25">
      <c r="A28">
        <v>84</v>
      </c>
      <c r="B28">
        <v>7031988</v>
      </c>
      <c r="C28" t="s">
        <v>182</v>
      </c>
      <c r="D28" s="25">
        <v>24131</v>
      </c>
      <c r="E28" t="s">
        <v>39</v>
      </c>
      <c r="F28" s="25">
        <v>45929</v>
      </c>
      <c r="G28">
        <v>93010</v>
      </c>
      <c r="H28" t="s">
        <v>40</v>
      </c>
      <c r="I28" s="26">
        <v>22</v>
      </c>
      <c r="J28" s="26">
        <f t="shared" si="0"/>
        <v>11.26</v>
      </c>
      <c r="K28" s="27">
        <v>10.74</v>
      </c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SUM(K25:K28)</f>
        <v>660.15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A9FF-1A12-4CC2-83AB-A5B926B2038C}">
  <sheetPr>
    <tabColor rgb="FFFFFF00"/>
  </sheetPr>
  <dimension ref="A1:V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184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185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186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4263410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7058433</v>
      </c>
      <c r="C25" t="s">
        <v>187</v>
      </c>
      <c r="D25" s="25">
        <v>18540</v>
      </c>
      <c r="E25" t="s">
        <v>71</v>
      </c>
      <c r="F25" s="25">
        <v>45938</v>
      </c>
      <c r="G25">
        <v>93010</v>
      </c>
      <c r="H25" t="s">
        <v>40</v>
      </c>
      <c r="I25" s="26">
        <v>25</v>
      </c>
      <c r="J25" s="26">
        <f t="shared" ref="J25:J27" si="0">I25-K25</f>
        <v>14.26</v>
      </c>
      <c r="K25" s="27">
        <v>10.74</v>
      </c>
      <c r="L25" s="28"/>
    </row>
    <row r="26" spans="1:22" x14ac:dyDescent="0.25">
      <c r="A26">
        <v>84</v>
      </c>
      <c r="B26">
        <v>7058433</v>
      </c>
      <c r="C26" t="s">
        <v>187</v>
      </c>
      <c r="D26" s="25">
        <v>18540</v>
      </c>
      <c r="E26" t="s">
        <v>71</v>
      </c>
      <c r="F26" s="25">
        <v>45938</v>
      </c>
      <c r="G26">
        <v>9301076</v>
      </c>
      <c r="H26" t="s">
        <v>40</v>
      </c>
      <c r="I26" s="26">
        <v>25</v>
      </c>
      <c r="J26" s="26">
        <f t="shared" si="0"/>
        <v>14.26</v>
      </c>
      <c r="K26" s="27">
        <v>10.74</v>
      </c>
      <c r="L26" s="28"/>
    </row>
    <row r="27" spans="1:22" x14ac:dyDescent="0.25">
      <c r="A27">
        <v>84</v>
      </c>
      <c r="B27">
        <v>7043566</v>
      </c>
      <c r="C27" t="s">
        <v>187</v>
      </c>
      <c r="D27" s="25">
        <v>18540</v>
      </c>
      <c r="E27" t="s">
        <v>39</v>
      </c>
      <c r="F27" s="25">
        <v>45931</v>
      </c>
      <c r="G27">
        <v>93010</v>
      </c>
      <c r="H27" t="s">
        <v>40</v>
      </c>
      <c r="I27" s="26">
        <v>25</v>
      </c>
      <c r="J27" s="26">
        <f t="shared" si="0"/>
        <v>14.26</v>
      </c>
      <c r="K27" s="27">
        <v>10.74</v>
      </c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SUM(K25:K27)</f>
        <v>32.22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279D-5DB7-4E95-8990-FBF823B1024E}">
  <sheetPr>
    <tabColor rgb="FFFFFF00"/>
  </sheetPr>
  <dimension ref="A1:V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188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189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190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4261220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4599344</v>
      </c>
      <c r="C25" t="s">
        <v>191</v>
      </c>
      <c r="D25" s="25">
        <v>18346</v>
      </c>
      <c r="E25" t="s">
        <v>102</v>
      </c>
      <c r="F25" s="25">
        <v>45926</v>
      </c>
      <c r="G25">
        <v>7417726</v>
      </c>
      <c r="H25" t="s">
        <v>91</v>
      </c>
      <c r="I25" s="26">
        <v>234</v>
      </c>
      <c r="J25" s="26">
        <f t="shared" ref="J25" si="0">I25-K25</f>
        <v>118.57</v>
      </c>
      <c r="K25" s="27">
        <v>115.43</v>
      </c>
      <c r="L25" s="28"/>
    </row>
    <row r="26" spans="1:22" x14ac:dyDescent="0.25">
      <c r="A26" s="29"/>
      <c r="B26" s="30"/>
      <c r="C26" s="30"/>
      <c r="D26" s="30"/>
      <c r="E26" s="30"/>
      <c r="F26" s="30"/>
      <c r="G26" s="31"/>
      <c r="H26" s="30"/>
      <c r="I26" s="30"/>
      <c r="J26" s="30"/>
      <c r="K26" s="30"/>
      <c r="L26" s="28"/>
    </row>
    <row r="27" spans="1:22" x14ac:dyDescent="0.25">
      <c r="A27" s="29"/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28"/>
    </row>
    <row r="28" spans="1:22" x14ac:dyDescent="0.25">
      <c r="A28" s="29"/>
      <c r="B28" s="30"/>
      <c r="C28" s="30"/>
      <c r="D28" s="30"/>
      <c r="E28" s="30"/>
      <c r="F28" s="30"/>
      <c r="G28" s="31"/>
      <c r="H28" s="30"/>
      <c r="I28" s="30"/>
      <c r="J28" s="30"/>
      <c r="K28" s="30"/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7">
        <v>115.43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BC12-EC64-4C23-AA97-6DB94ABB530B}">
  <sheetPr>
    <tabColor rgb="FFFFFF00"/>
  </sheetPr>
  <dimension ref="A1:V40"/>
  <sheetViews>
    <sheetView topLeftCell="A2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11" max="11" width="11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192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193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194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4269940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7078861</v>
      </c>
      <c r="C25" t="s">
        <v>195</v>
      </c>
      <c r="D25" s="25">
        <v>17645</v>
      </c>
      <c r="E25" t="s">
        <v>196</v>
      </c>
      <c r="F25" s="25">
        <v>45944</v>
      </c>
      <c r="G25" t="s">
        <v>197</v>
      </c>
      <c r="H25" t="s">
        <v>171</v>
      </c>
      <c r="I25" s="26">
        <v>675</v>
      </c>
      <c r="J25" s="26">
        <f t="shared" ref="J25:J38" si="0">I25-K25</f>
        <v>324.77999999999997</v>
      </c>
      <c r="K25" s="27">
        <v>350.22</v>
      </c>
      <c r="L25" s="28"/>
    </row>
    <row r="26" spans="1:22" x14ac:dyDescent="0.25">
      <c r="A26">
        <v>84</v>
      </c>
      <c r="B26">
        <v>7078861</v>
      </c>
      <c r="C26" t="s">
        <v>195</v>
      </c>
      <c r="D26" s="25">
        <v>17645</v>
      </c>
      <c r="E26" t="s">
        <v>196</v>
      </c>
      <c r="F26" s="25">
        <v>45944</v>
      </c>
      <c r="G26">
        <v>7830626</v>
      </c>
      <c r="H26" t="s">
        <v>171</v>
      </c>
      <c r="I26" s="26">
        <v>120</v>
      </c>
      <c r="J26" s="26">
        <f t="shared" si="0"/>
        <v>66.7</v>
      </c>
      <c r="K26" s="27">
        <v>53.3</v>
      </c>
      <c r="L26" s="28"/>
    </row>
    <row r="27" spans="1:22" x14ac:dyDescent="0.25">
      <c r="A27">
        <v>84</v>
      </c>
      <c r="B27">
        <v>7078861</v>
      </c>
      <c r="C27" t="s">
        <v>195</v>
      </c>
      <c r="D27" s="25">
        <v>17645</v>
      </c>
      <c r="E27" t="s">
        <v>196</v>
      </c>
      <c r="F27" s="25">
        <v>45944</v>
      </c>
      <c r="G27" t="s">
        <v>198</v>
      </c>
      <c r="H27" t="s">
        <v>199</v>
      </c>
      <c r="I27" s="26">
        <v>37.1</v>
      </c>
      <c r="J27" s="26">
        <f t="shared" si="0"/>
        <v>16.350000000000001</v>
      </c>
      <c r="K27" s="27">
        <v>20.75</v>
      </c>
      <c r="L27" s="28"/>
    </row>
    <row r="28" spans="1:22" x14ac:dyDescent="0.25">
      <c r="A28">
        <v>84</v>
      </c>
      <c r="B28">
        <v>7089159</v>
      </c>
      <c r="C28" t="s">
        <v>195</v>
      </c>
      <c r="D28" s="25">
        <v>17645</v>
      </c>
      <c r="E28" t="s">
        <v>90</v>
      </c>
      <c r="F28" s="25">
        <v>45942</v>
      </c>
      <c r="G28" t="s">
        <v>200</v>
      </c>
      <c r="H28" t="s">
        <v>93</v>
      </c>
      <c r="I28" s="26">
        <v>32</v>
      </c>
      <c r="J28" s="26">
        <f t="shared" si="0"/>
        <v>14.98</v>
      </c>
      <c r="K28" s="27">
        <v>17.02</v>
      </c>
      <c r="L28" s="28"/>
    </row>
    <row r="29" spans="1:22" x14ac:dyDescent="0.25">
      <c r="A29">
        <v>84</v>
      </c>
      <c r="B29">
        <v>7089159</v>
      </c>
      <c r="C29" t="s">
        <v>195</v>
      </c>
      <c r="D29" s="25">
        <v>17645</v>
      </c>
      <c r="E29" t="s">
        <v>90</v>
      </c>
      <c r="F29" s="25">
        <v>45942</v>
      </c>
      <c r="G29" t="s">
        <v>201</v>
      </c>
      <c r="H29" t="s">
        <v>85</v>
      </c>
      <c r="I29" s="26">
        <v>345</v>
      </c>
      <c r="J29" s="26">
        <f t="shared" si="0"/>
        <v>119.77000000000001</v>
      </c>
      <c r="K29" s="27">
        <v>225.23</v>
      </c>
      <c r="L29" s="28"/>
    </row>
    <row r="30" spans="1:22" x14ac:dyDescent="0.25">
      <c r="A30">
        <v>84</v>
      </c>
      <c r="B30">
        <v>7089159</v>
      </c>
      <c r="C30" t="s">
        <v>195</v>
      </c>
      <c r="D30" s="25">
        <v>17645</v>
      </c>
      <c r="E30" t="s">
        <v>90</v>
      </c>
      <c r="F30" s="25">
        <v>45942</v>
      </c>
      <c r="G30">
        <v>7126026</v>
      </c>
      <c r="H30" t="s">
        <v>85</v>
      </c>
      <c r="I30" s="26">
        <v>165</v>
      </c>
      <c r="J30" s="26">
        <f t="shared" si="0"/>
        <v>91.56</v>
      </c>
      <c r="K30" s="27">
        <v>73.44</v>
      </c>
      <c r="L30" s="28"/>
    </row>
    <row r="31" spans="1:22" x14ac:dyDescent="0.25">
      <c r="A31">
        <v>84</v>
      </c>
      <c r="B31">
        <v>7089159</v>
      </c>
      <c r="C31" t="s">
        <v>195</v>
      </c>
      <c r="D31" s="25">
        <v>17645</v>
      </c>
      <c r="E31" t="s">
        <v>90</v>
      </c>
      <c r="F31" s="25">
        <v>45942</v>
      </c>
      <c r="G31">
        <v>7417726</v>
      </c>
      <c r="H31" t="s">
        <v>91</v>
      </c>
      <c r="I31" s="26">
        <v>259</v>
      </c>
      <c r="J31" s="26">
        <f t="shared" si="0"/>
        <v>143.57</v>
      </c>
      <c r="K31" s="27">
        <v>115.43</v>
      </c>
      <c r="L31" s="28"/>
    </row>
    <row r="32" spans="1:22" x14ac:dyDescent="0.25">
      <c r="A32">
        <v>84</v>
      </c>
      <c r="B32">
        <v>7089159</v>
      </c>
      <c r="C32" t="s">
        <v>195</v>
      </c>
      <c r="D32" s="25">
        <v>17645</v>
      </c>
      <c r="E32" t="s">
        <v>90</v>
      </c>
      <c r="F32" s="25">
        <v>45942</v>
      </c>
      <c r="G32" t="s">
        <v>202</v>
      </c>
      <c r="H32" t="s">
        <v>91</v>
      </c>
      <c r="I32" s="26">
        <v>663</v>
      </c>
      <c r="J32" s="26">
        <f t="shared" si="0"/>
        <v>255.83999999999997</v>
      </c>
      <c r="K32" s="27">
        <v>407.16</v>
      </c>
      <c r="L32" s="28"/>
    </row>
    <row r="33" spans="1:12" x14ac:dyDescent="0.25">
      <c r="A33">
        <v>84</v>
      </c>
      <c r="B33">
        <v>7099670</v>
      </c>
      <c r="C33" t="s">
        <v>203</v>
      </c>
      <c r="D33" s="25">
        <v>17317</v>
      </c>
      <c r="E33" t="s">
        <v>204</v>
      </c>
      <c r="F33" s="25">
        <v>45953</v>
      </c>
      <c r="G33" t="s">
        <v>92</v>
      </c>
      <c r="H33" t="s">
        <v>93</v>
      </c>
      <c r="I33" s="26">
        <v>40</v>
      </c>
      <c r="J33" s="26">
        <f t="shared" si="0"/>
        <v>22.98</v>
      </c>
      <c r="K33" s="27">
        <v>17.02</v>
      </c>
      <c r="L33" s="28"/>
    </row>
    <row r="34" spans="1:12" x14ac:dyDescent="0.25">
      <c r="A34">
        <v>84</v>
      </c>
      <c r="B34">
        <v>7099670</v>
      </c>
      <c r="C34" t="s">
        <v>203</v>
      </c>
      <c r="D34" s="25">
        <v>17317</v>
      </c>
      <c r="E34" t="s">
        <v>204</v>
      </c>
      <c r="F34" s="25">
        <v>45953</v>
      </c>
      <c r="G34">
        <v>74177</v>
      </c>
      <c r="H34" t="s">
        <v>91</v>
      </c>
      <c r="I34" s="26">
        <v>922</v>
      </c>
      <c r="J34" s="26">
        <f t="shared" si="0"/>
        <v>514.83999999999992</v>
      </c>
      <c r="K34" s="27">
        <v>407.16</v>
      </c>
      <c r="L34" s="28"/>
    </row>
    <row r="35" spans="1:12" x14ac:dyDescent="0.25">
      <c r="A35">
        <v>84</v>
      </c>
      <c r="B35">
        <v>7099670</v>
      </c>
      <c r="C35" t="s">
        <v>203</v>
      </c>
      <c r="D35" s="25">
        <v>17317</v>
      </c>
      <c r="E35" t="s">
        <v>204</v>
      </c>
      <c r="F35" s="25">
        <v>45953</v>
      </c>
      <c r="G35">
        <v>71260</v>
      </c>
      <c r="H35" t="s">
        <v>85</v>
      </c>
      <c r="I35" s="26">
        <v>510</v>
      </c>
      <c r="J35" s="26">
        <f t="shared" si="0"/>
        <v>284.77</v>
      </c>
      <c r="K35" s="27">
        <v>225.23</v>
      </c>
      <c r="L35" s="28"/>
    </row>
    <row r="36" spans="1:12" x14ac:dyDescent="0.25">
      <c r="A36">
        <v>84</v>
      </c>
      <c r="B36">
        <v>7118276</v>
      </c>
      <c r="C36" t="s">
        <v>203</v>
      </c>
      <c r="D36" s="25">
        <v>17317</v>
      </c>
      <c r="E36" t="s">
        <v>205</v>
      </c>
      <c r="F36" s="25">
        <v>45953</v>
      </c>
      <c r="G36">
        <v>78306</v>
      </c>
      <c r="H36" t="s">
        <v>171</v>
      </c>
      <c r="I36" s="26">
        <v>795</v>
      </c>
      <c r="J36" s="26">
        <f t="shared" si="0"/>
        <v>444.78</v>
      </c>
      <c r="K36" s="27">
        <v>350.22</v>
      </c>
      <c r="L36" s="28"/>
    </row>
    <row r="37" spans="1:12" x14ac:dyDescent="0.25">
      <c r="A37">
        <v>84</v>
      </c>
      <c r="B37">
        <v>7118278</v>
      </c>
      <c r="C37" t="s">
        <v>203</v>
      </c>
      <c r="D37" s="25">
        <v>17317</v>
      </c>
      <c r="E37" t="s">
        <v>205</v>
      </c>
      <c r="F37" s="25">
        <v>45953</v>
      </c>
      <c r="G37" t="s">
        <v>206</v>
      </c>
      <c r="H37" t="s">
        <v>199</v>
      </c>
      <c r="I37" s="26">
        <v>46</v>
      </c>
      <c r="J37" s="26">
        <f t="shared" si="0"/>
        <v>25.25</v>
      </c>
      <c r="K37" s="27">
        <v>20.75</v>
      </c>
      <c r="L37" s="28"/>
    </row>
    <row r="38" spans="1:12" x14ac:dyDescent="0.25">
      <c r="A38">
        <v>84</v>
      </c>
      <c r="B38">
        <v>6270077</v>
      </c>
      <c r="C38" t="s">
        <v>203</v>
      </c>
      <c r="D38" s="25">
        <v>17317</v>
      </c>
      <c r="E38" t="s">
        <v>71</v>
      </c>
      <c r="F38" s="25">
        <v>45661</v>
      </c>
      <c r="G38">
        <v>93010</v>
      </c>
      <c r="H38" t="s">
        <v>40</v>
      </c>
      <c r="I38" s="26">
        <v>22</v>
      </c>
      <c r="J38" s="26">
        <f t="shared" si="0"/>
        <v>11.26</v>
      </c>
      <c r="K38" s="27">
        <v>10.74</v>
      </c>
      <c r="L38" s="28"/>
    </row>
    <row r="39" spans="1:12" ht="15.75" thickBot="1" x14ac:dyDescent="0.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33"/>
    </row>
    <row r="40" spans="1:12" ht="16.5" thickTop="1" x14ac:dyDescent="0.25">
      <c r="A40" s="48" t="s">
        <v>41</v>
      </c>
      <c r="B40" s="48"/>
      <c r="C40" s="49"/>
      <c r="D40" s="49"/>
      <c r="E40" s="49"/>
      <c r="F40" s="49"/>
      <c r="G40" s="35"/>
      <c r="H40" s="35"/>
      <c r="I40" s="35"/>
      <c r="J40" s="35"/>
      <c r="K40" s="36">
        <f>SUM(K25:K38)</f>
        <v>2293.67</v>
      </c>
      <c r="L4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9:K39"/>
    <mergeCell ref="A40:B40"/>
    <mergeCell ref="C40:D40"/>
    <mergeCell ref="E40:F40"/>
    <mergeCell ref="G23:G24"/>
    <mergeCell ref="H23:H24"/>
    <mergeCell ref="A39:B39"/>
    <mergeCell ref="C39:D39"/>
    <mergeCell ref="E39:F39"/>
    <mergeCell ref="G39:I39"/>
    <mergeCell ref="I23:I24"/>
    <mergeCell ref="J23:J24"/>
    <mergeCell ref="K23:K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3EE3-2C72-4504-A035-AFD0E63ADE3D}">
  <sheetPr>
    <tabColor rgb="FFFFFF00"/>
  </sheetPr>
  <dimension ref="A1:V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207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208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209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4278560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25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84</v>
      </c>
      <c r="B25">
        <v>7113118</v>
      </c>
      <c r="C25" t="s">
        <v>210</v>
      </c>
      <c r="D25" s="25">
        <v>20336</v>
      </c>
      <c r="E25" t="s">
        <v>211</v>
      </c>
      <c r="F25" s="25">
        <v>45957</v>
      </c>
      <c r="G25">
        <v>93356</v>
      </c>
      <c r="H25" t="s">
        <v>78</v>
      </c>
      <c r="I25" s="26">
        <v>36</v>
      </c>
      <c r="J25" s="26">
        <f t="shared" ref="J25:J28" si="0">I25-K25</f>
        <v>20.39</v>
      </c>
      <c r="K25" s="27">
        <v>15.61</v>
      </c>
      <c r="L25" s="28"/>
    </row>
    <row r="26" spans="1:22" x14ac:dyDescent="0.25">
      <c r="A26">
        <v>84</v>
      </c>
      <c r="B26">
        <v>7113118</v>
      </c>
      <c r="C26" t="s">
        <v>210</v>
      </c>
      <c r="D26" s="25">
        <v>20336</v>
      </c>
      <c r="E26" t="s">
        <v>211</v>
      </c>
      <c r="F26" s="25">
        <v>45957</v>
      </c>
      <c r="G26">
        <v>9330626</v>
      </c>
      <c r="H26" t="s">
        <v>77</v>
      </c>
      <c r="I26" s="26">
        <v>203</v>
      </c>
      <c r="J26" s="26">
        <f t="shared" si="0"/>
        <v>112.38</v>
      </c>
      <c r="K26" s="27">
        <v>90.62</v>
      </c>
      <c r="L26" s="28"/>
    </row>
    <row r="27" spans="1:22" x14ac:dyDescent="0.25">
      <c r="A27">
        <v>510</v>
      </c>
      <c r="B27">
        <v>4670933</v>
      </c>
      <c r="C27" t="s">
        <v>212</v>
      </c>
      <c r="D27" s="25">
        <v>20336</v>
      </c>
      <c r="E27" t="s">
        <v>65</v>
      </c>
      <c r="F27" s="25">
        <v>45959</v>
      </c>
      <c r="G27">
        <v>7417726</v>
      </c>
      <c r="H27" t="s">
        <v>91</v>
      </c>
      <c r="I27" s="26">
        <v>259</v>
      </c>
      <c r="J27" s="26">
        <f t="shared" si="0"/>
        <v>143.57</v>
      </c>
      <c r="K27" s="27">
        <v>115.43</v>
      </c>
      <c r="L27" s="28"/>
    </row>
    <row r="28" spans="1:22" x14ac:dyDescent="0.25">
      <c r="A28">
        <v>510</v>
      </c>
      <c r="B28">
        <v>4670933</v>
      </c>
      <c r="C28" t="s">
        <v>212</v>
      </c>
      <c r="D28" s="25">
        <v>20336</v>
      </c>
      <c r="E28" t="s">
        <v>65</v>
      </c>
      <c r="F28" s="25">
        <v>45959</v>
      </c>
      <c r="G28">
        <v>7126026</v>
      </c>
      <c r="H28" t="s">
        <v>85</v>
      </c>
      <c r="I28" s="26">
        <v>165</v>
      </c>
      <c r="J28" s="26">
        <f t="shared" si="0"/>
        <v>91.56</v>
      </c>
      <c r="K28" s="27">
        <v>73.44</v>
      </c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SUM(K25:K28)</f>
        <v>295.10000000000002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A534-C5D7-46E3-9064-76E6923944D5}">
  <sheetPr>
    <tabColor rgb="FFFFFF00"/>
  </sheetPr>
  <dimension ref="A1:V30"/>
  <sheetViews>
    <sheetView topLeftCell="A7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213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214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1" t="s">
        <v>18</v>
      </c>
      <c r="B19" s="12" t="s">
        <v>215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2700569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216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ht="22.5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4634376</v>
      </c>
      <c r="C25" t="s">
        <v>217</v>
      </c>
      <c r="D25" s="25">
        <v>18513</v>
      </c>
      <c r="E25" t="s">
        <v>218</v>
      </c>
      <c r="F25" s="25">
        <v>45943</v>
      </c>
      <c r="G25">
        <v>731</v>
      </c>
      <c r="H25" t="s">
        <v>110</v>
      </c>
      <c r="I25" s="26">
        <v>910</v>
      </c>
      <c r="J25" s="26">
        <f t="shared" ref="J25:J28" si="0">I25-K25</f>
        <v>769.72</v>
      </c>
      <c r="K25" s="27">
        <v>140.28</v>
      </c>
      <c r="L25" s="28"/>
    </row>
    <row r="26" spans="1:22" x14ac:dyDescent="0.25">
      <c r="A26">
        <v>510</v>
      </c>
      <c r="B26">
        <v>4640241</v>
      </c>
      <c r="C26" t="s">
        <v>217</v>
      </c>
      <c r="D26" s="25">
        <v>18513</v>
      </c>
      <c r="E26" t="s">
        <v>219</v>
      </c>
      <c r="F26" s="25">
        <v>45943</v>
      </c>
      <c r="G26">
        <v>731</v>
      </c>
      <c r="H26" t="s">
        <v>110</v>
      </c>
      <c r="I26" s="26">
        <v>910</v>
      </c>
      <c r="J26" s="26">
        <f t="shared" si="0"/>
        <v>769.72</v>
      </c>
      <c r="K26" s="27">
        <v>140.28</v>
      </c>
      <c r="L26" s="28"/>
    </row>
    <row r="27" spans="1:22" x14ac:dyDescent="0.25">
      <c r="A27">
        <v>510</v>
      </c>
      <c r="B27">
        <v>4640241</v>
      </c>
      <c r="C27" t="s">
        <v>217</v>
      </c>
      <c r="D27" s="25">
        <v>18513</v>
      </c>
      <c r="E27" t="s">
        <v>219</v>
      </c>
      <c r="F27" s="25">
        <v>45943</v>
      </c>
      <c r="G27">
        <v>99100</v>
      </c>
      <c r="H27" t="s">
        <v>112</v>
      </c>
      <c r="I27" s="26">
        <v>130</v>
      </c>
      <c r="J27" s="26">
        <f t="shared" si="0"/>
        <v>108.55</v>
      </c>
      <c r="K27" s="27">
        <v>21.45</v>
      </c>
      <c r="L27" s="28"/>
    </row>
    <row r="28" spans="1:22" x14ac:dyDescent="0.25">
      <c r="A28">
        <v>84</v>
      </c>
      <c r="B28">
        <v>7117728</v>
      </c>
      <c r="C28" t="s">
        <v>217</v>
      </c>
      <c r="D28" s="25">
        <v>18513</v>
      </c>
      <c r="E28" t="s">
        <v>220</v>
      </c>
      <c r="F28" s="25">
        <v>45943</v>
      </c>
      <c r="G28">
        <v>43239</v>
      </c>
      <c r="H28" t="s">
        <v>221</v>
      </c>
      <c r="I28" s="26">
        <v>412</v>
      </c>
      <c r="J28" s="26">
        <f t="shared" si="0"/>
        <v>281.89999999999998</v>
      </c>
      <c r="K28" s="27">
        <v>130.1</v>
      </c>
      <c r="L28" s="28"/>
    </row>
    <row r="29" spans="1:22" ht="15.75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33"/>
    </row>
    <row r="30" spans="1:22" ht="16.5" thickTop="1" x14ac:dyDescent="0.25">
      <c r="A30" s="48" t="s">
        <v>41</v>
      </c>
      <c r="B30" s="48"/>
      <c r="C30" s="49"/>
      <c r="D30" s="49"/>
      <c r="E30" s="49"/>
      <c r="F30" s="49"/>
      <c r="G30" s="35"/>
      <c r="H30" s="35"/>
      <c r="I30" s="35"/>
      <c r="J30" s="35"/>
      <c r="K30" s="36">
        <f>SUM(K25:K28)</f>
        <v>432.11</v>
      </c>
      <c r="L30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B9A5-BADA-47D0-A2D5-B03301CDACED}">
  <sheetPr>
    <tabColor rgb="FFFFFF00"/>
  </sheetPr>
  <dimension ref="A1:V29"/>
  <sheetViews>
    <sheetView topLeftCell="A12" workbookViewId="0">
      <selection activeCell="B18" sqref="B18:B20"/>
    </sheetView>
  </sheetViews>
  <sheetFormatPr defaultRowHeight="15" x14ac:dyDescent="0.25"/>
  <cols>
    <col min="1" max="1" width="17" customWidth="1"/>
    <col min="2" max="2" width="12.570312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3" t="s">
        <v>222</v>
      </c>
      <c r="H2" s="53"/>
      <c r="I2" s="53"/>
      <c r="J2" s="53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54" t="s">
        <v>14</v>
      </c>
      <c r="G14" s="55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56" t="s">
        <v>16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2"/>
    </row>
    <row r="17" spans="1:22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2"/>
    </row>
    <row r="18" spans="1:22" ht="15" customHeight="1" x14ac:dyDescent="0.25">
      <c r="A18" s="11" t="s">
        <v>17</v>
      </c>
      <c r="B18" s="12" t="s">
        <v>223</v>
      </c>
      <c r="C18" s="12"/>
      <c r="D18" s="13"/>
      <c r="E18" s="1"/>
      <c r="F18" s="1"/>
      <c r="G18" s="1"/>
      <c r="H18" s="1"/>
      <c r="I18" s="1"/>
      <c r="J18" s="1"/>
      <c r="K18" s="1"/>
      <c r="L18" s="2"/>
    </row>
    <row r="19" spans="1:22" ht="15.75" thickBot="1" x14ac:dyDescent="0.3">
      <c r="A19" s="11" t="s">
        <v>18</v>
      </c>
      <c r="B19" s="12">
        <v>2108097176</v>
      </c>
      <c r="C19" s="12"/>
      <c r="D19" s="13"/>
      <c r="E19" s="14" t="s">
        <v>20</v>
      </c>
      <c r="F19" s="14"/>
      <c r="G19" s="15"/>
      <c r="H19" s="15"/>
      <c r="I19" s="15"/>
      <c r="J19" s="11"/>
      <c r="K19" s="11"/>
      <c r="L19" s="2"/>
    </row>
    <row r="20" spans="1:22" ht="36.75" thickBot="1" x14ac:dyDescent="0.3">
      <c r="A20" s="15" t="s">
        <v>21</v>
      </c>
      <c r="B20" s="12">
        <v>4257580</v>
      </c>
      <c r="C20" s="12"/>
      <c r="D20" s="15"/>
      <c r="E20" s="16"/>
      <c r="F20" s="16"/>
      <c r="G20" s="15"/>
      <c r="H20" s="15"/>
      <c r="I20" s="17" t="s">
        <v>22</v>
      </c>
      <c r="J20" s="60" t="s">
        <v>23</v>
      </c>
      <c r="K20" s="59"/>
      <c r="L20" s="18"/>
    </row>
    <row r="21" spans="1:22" x14ac:dyDescent="0.25">
      <c r="A21" s="11" t="s">
        <v>24</v>
      </c>
      <c r="B21" s="19" t="s">
        <v>216</v>
      </c>
      <c r="C21" s="16"/>
      <c r="D21" s="13"/>
      <c r="E21" s="20"/>
      <c r="F21" s="13"/>
      <c r="G21" s="11"/>
      <c r="H21" s="11"/>
      <c r="I21" s="11"/>
      <c r="J21" s="11"/>
      <c r="K21" s="11"/>
      <c r="L21" s="21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spans="1:22" x14ac:dyDescent="0.25">
      <c r="A23" s="50" t="s">
        <v>26</v>
      </c>
      <c r="B23" s="22" t="s">
        <v>27</v>
      </c>
      <c r="C23" s="50" t="s">
        <v>28</v>
      </c>
      <c r="D23" s="50" t="s">
        <v>29</v>
      </c>
      <c r="E23" s="50" t="s">
        <v>30</v>
      </c>
      <c r="F23" s="50" t="s">
        <v>31</v>
      </c>
      <c r="G23" s="50" t="s">
        <v>32</v>
      </c>
      <c r="H23" s="50" t="s">
        <v>33</v>
      </c>
      <c r="I23" s="50" t="s">
        <v>34</v>
      </c>
      <c r="J23" s="50" t="s">
        <v>35</v>
      </c>
      <c r="K23" s="50" t="s">
        <v>36</v>
      </c>
      <c r="L23" s="52"/>
    </row>
    <row r="24" spans="1:22" x14ac:dyDescent="0.25">
      <c r="A24" s="51"/>
      <c r="B24" s="24" t="s">
        <v>37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22" x14ac:dyDescent="0.25">
      <c r="A25">
        <v>510</v>
      </c>
      <c r="B25">
        <v>4675587</v>
      </c>
      <c r="C25" t="s">
        <v>224</v>
      </c>
      <c r="D25" s="25">
        <v>26126</v>
      </c>
      <c r="E25" t="s">
        <v>225</v>
      </c>
      <c r="F25" s="25">
        <v>45957</v>
      </c>
      <c r="G25">
        <v>93010</v>
      </c>
      <c r="H25" t="s">
        <v>40</v>
      </c>
      <c r="I25" s="26">
        <v>25</v>
      </c>
      <c r="J25" s="26">
        <f t="shared" ref="J25" si="0">I25-K25</f>
        <v>17.329999999999998</v>
      </c>
      <c r="K25" s="27">
        <v>7.67</v>
      </c>
      <c r="L25" s="28"/>
    </row>
    <row r="26" spans="1:22" x14ac:dyDescent="0.25">
      <c r="A26" s="29"/>
      <c r="B26" s="30"/>
      <c r="C26" s="30"/>
      <c r="D26" s="30"/>
      <c r="E26" s="30"/>
      <c r="F26" s="30"/>
      <c r="G26" s="31"/>
      <c r="H26" s="30"/>
      <c r="I26" s="30"/>
      <c r="J26" s="30"/>
      <c r="K26" s="30"/>
      <c r="L26" s="28"/>
    </row>
    <row r="27" spans="1:22" x14ac:dyDescent="0.25">
      <c r="A27" s="29"/>
      <c r="B27" s="30"/>
      <c r="C27" s="30"/>
      <c r="D27" s="30"/>
      <c r="E27" s="30"/>
      <c r="F27" s="30"/>
      <c r="G27" s="31"/>
      <c r="H27" s="30"/>
      <c r="I27" s="30"/>
      <c r="J27" s="30"/>
      <c r="K27" s="30"/>
      <c r="L27" s="28"/>
    </row>
    <row r="28" spans="1:22" ht="15.75" thickBot="1" x14ac:dyDescent="0.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33"/>
    </row>
    <row r="29" spans="1:22" ht="16.5" thickTop="1" x14ac:dyDescent="0.25">
      <c r="A29" s="48" t="s">
        <v>41</v>
      </c>
      <c r="B29" s="48"/>
      <c r="C29" s="49"/>
      <c r="D29" s="49"/>
      <c r="E29" s="49"/>
      <c r="F29" s="49"/>
      <c r="G29" s="35"/>
      <c r="H29" s="35"/>
      <c r="I29" s="35"/>
      <c r="J29" s="35"/>
      <c r="K29" s="37">
        <v>7.67</v>
      </c>
      <c r="L29" s="35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14630001</vt:lpstr>
      <vt:lpstr>64407564MMY3002</vt:lpstr>
      <vt:lpstr>ABK-CA-PROT-85</vt:lpstr>
      <vt:lpstr>ATOS Z 201</vt:lpstr>
      <vt:lpstr>AV 299 23 301</vt:lpstr>
      <vt:lpstr>BC IMT 04</vt:lpstr>
      <vt:lpstr>CA2330000</vt:lpstr>
      <vt:lpstr>CA20976K</vt:lpstr>
      <vt:lpstr>CHS 388 202</vt:lpstr>
      <vt:lpstr>D361DC00001</vt:lpstr>
      <vt:lpstr>D7632C00001</vt:lpstr>
      <vt:lpstr>HC366RCC2311</vt:lpstr>
      <vt:lpstr>HCRN BRE20-468</vt:lpstr>
      <vt:lpstr>IMC F106C 301</vt:lpstr>
      <vt:lpstr>INT231401</vt:lpstr>
      <vt:lpstr>MK3475U06</vt:lpstr>
      <vt:lpstr>MK 5684 004</vt:lpstr>
      <vt:lpstr>NP G2 044 P2 01</vt:lpstr>
      <vt:lpstr>PRISM 1</vt:lpstr>
      <vt:lpstr>RBS2418 1001</vt:lpstr>
      <vt:lpstr>RLY2608101</vt:lpstr>
      <vt:lpstr>SMX22002</vt:lpstr>
      <vt:lpstr>STK012101</vt:lpstr>
      <vt:lpstr>WINDOW Gastric IIT</vt:lpstr>
      <vt:lpstr>XL184 IST103</vt:lpstr>
      <vt:lpstr>'14630001'!Print_Area</vt:lpstr>
      <vt:lpstr>'64407564MMY3002'!Print_Area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Keefe, Caitlyn Leigh - (caitlynkeefe124)</dc:creator>
  <cp:lastModifiedBy>Kristi Lenae Davis</cp:lastModifiedBy>
  <cp:lastPrinted>2026-01-20T20:07:18Z</cp:lastPrinted>
  <dcterms:created xsi:type="dcterms:W3CDTF">2025-12-02T21:54:52Z</dcterms:created>
  <dcterms:modified xsi:type="dcterms:W3CDTF">2026-01-20T23:00:06Z</dcterms:modified>
</cp:coreProperties>
</file>