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08453594297/WOPIServiceId_TP_BOX_2/WOPIUserId_-/"/>
    </mc:Choice>
  </mc:AlternateContent>
  <xr:revisionPtr revIDLastSave="88" documentId="8_{1DB58319-104F-4AEA-AD5C-FBC9522B3938}" xr6:coauthVersionLast="47" xr6:coauthVersionMax="47" xr10:uidLastSave="{2A16A07B-4887-4A97-9353-7B1B347CA6D1}"/>
  <bookViews>
    <workbookView xWindow="-120" yWindow="-120" windowWidth="29040" windowHeight="15720" xr2:uid="{97EB3F90-04A5-4BD2-8EB3-035CC07C441C}"/>
  </bookViews>
  <sheets>
    <sheet name="64407564MMY300" sheetId="1" r:id="rId1"/>
    <sheet name="ABK-CA-PROT-85" sheetId="2" r:id="rId2"/>
    <sheet name="AV-299-23-301" sheetId="3" r:id="rId3"/>
    <sheet name="BC-IMT-04" sheetId="4" r:id="rId4"/>
    <sheet name="BGB-16673" sheetId="5" r:id="rId5"/>
    <sheet name="CA 209-76K" sheetId="6" r:id="rId6"/>
    <sheet name="CA2330000" sheetId="7" r:id="rId7"/>
    <sheet name="CHS-388-202" sheetId="8" r:id="rId8"/>
    <sheet name="D361DC00001 C" sheetId="9" r:id="rId9"/>
    <sheet name="D7632C00001 T" sheetId="10" r:id="rId10"/>
    <sheet name="EF-32" sheetId="11" r:id="rId11"/>
    <sheet name="GCT1184-02" sheetId="12" r:id="rId12"/>
    <sheet name="GOG-3041" sheetId="13" r:id="rId13"/>
    <sheet name="HC366-RCC2311" sheetId="14" r:id="rId14"/>
    <sheet name="HCRN BRE20-468" sheetId="15" r:id="rId15"/>
    <sheet name="IMC-F106C-301" sheetId="16" r:id="rId16"/>
    <sheet name="IMMU-132-06" sheetId="17" r:id="rId17"/>
    <sheet name="M22-716" sheetId="18" r:id="rId18"/>
    <sheet name="MK3475-U06" sheetId="19" r:id="rId19"/>
    <sheet name="MK-5684-004" sheetId="20" r:id="rId20"/>
    <sheet name="mRNA-4157-P201" sheetId="21" r:id="rId21"/>
    <sheet name="OLvI-VEC-022" sheetId="22" r:id="rId22"/>
    <sheet name="OP-1250-301 O" sheetId="23" r:id="rId23"/>
    <sheet name="PRISM-1" sheetId="24" r:id="rId24"/>
    <sheet name="RBS2418-1001" sheetId="25" r:id="rId25"/>
    <sheet name="RLY-2608-101" sheetId="26" r:id="rId26"/>
    <sheet name="STK-012-101" sheetId="27" r:id="rId27"/>
    <sheet name="WINDOW Gastric" sheetId="28" r:id="rId28"/>
    <sheet name="XL184-IST103" sheetId="29" r:id="rId29"/>
    <sheet name="Zn-c3-004" sheetId="30" r:id="rId30"/>
  </sheets>
  <definedNames>
    <definedName name="_xlnm.Print_Area" localSheetId="0">'64407564MMY300'!$B:$M</definedName>
    <definedName name="_xlnm.Print_Area" localSheetId="1">'ABK-CA-PROT-85'!$B$1:$L$30</definedName>
    <definedName name="_xlnm.Print_Area" localSheetId="2">'AV-299-23-301'!$A$1:$L$33</definedName>
    <definedName name="_xlnm.Print_Area" localSheetId="3">'BC-IMT-04'!$B$1:$L$60</definedName>
    <definedName name="_xlnm.Print_Area" localSheetId="4">'BGB-16673'!$A$1:$L$31</definedName>
    <definedName name="_xlnm.Print_Area" localSheetId="5">'CA 209-76K'!$A$1:$L$31</definedName>
    <definedName name="_xlnm.Print_Area" localSheetId="6">CA2330000!$A$1:$L$53</definedName>
    <definedName name="_xlnm.Print_Area" localSheetId="7">'CHS-388-202'!$A$1:$L$64</definedName>
    <definedName name="_xlnm.Print_Area" localSheetId="8">'D361DC00001 C'!$A$1:$L$42</definedName>
    <definedName name="_xlnm.Print_Area" localSheetId="9">'D7632C00001 T'!$A$1:$L$30</definedName>
    <definedName name="_xlnm.Print_Area" localSheetId="10">'EF-32'!$A$1:$L$29</definedName>
    <definedName name="_xlnm.Print_Area" localSheetId="11">'GCT1184-02'!$A$1:$L$37</definedName>
    <definedName name="_xlnm.Print_Area" localSheetId="12">'GOG-3041'!$B$1:$L$34</definedName>
    <definedName name="_xlnm.Print_Area" localSheetId="13">'HC366-RCC2311'!$A$1:$L$52</definedName>
    <definedName name="_xlnm.Print_Area" localSheetId="14">'HCRN BRE20-468'!$B$1:$L$29</definedName>
    <definedName name="_xlnm.Print_Area" localSheetId="15">'IMC-F106C-301'!$B$1:$L$34</definedName>
    <definedName name="_xlnm.Print_Area" localSheetId="16">'IMMU-132-06'!$A$1:$L$50</definedName>
    <definedName name="_xlnm.Print_Area" localSheetId="17">'M22-716'!$A$1:$L$56</definedName>
    <definedName name="_xlnm.Print_Area" localSheetId="18">'MK3475-U06'!$A$1:$L$32</definedName>
    <definedName name="_xlnm.Print_Area" localSheetId="19">'MK-5684-004'!$A$1:$L$37</definedName>
    <definedName name="_xlnm.Print_Area" localSheetId="20">'mRNA-4157-P201'!$A$1:$L$43</definedName>
    <definedName name="_xlnm.Print_Area" localSheetId="21">'OLvI-VEC-022'!$B$1:$L$35</definedName>
    <definedName name="_xlnm.Print_Area" localSheetId="22">'OP-1250-301 O'!$B$1:$L$33</definedName>
    <definedName name="_xlnm.Print_Area" localSheetId="23">'PRISM-1'!$A$1:$L$29</definedName>
    <definedName name="_xlnm.Print_Area" localSheetId="24">'RBS2418-1001'!$B$1:$L$38</definedName>
    <definedName name="_xlnm.Print_Area" localSheetId="25">'RLY-2608-101'!$A$1:$L$29</definedName>
    <definedName name="_xlnm.Print_Area" localSheetId="26">'STK-012-101'!$A$1:$L$32</definedName>
    <definedName name="_xlnm.Print_Area" localSheetId="27">'WINDOW Gastric'!$B$1:$L$41</definedName>
    <definedName name="_xlnm.Print_Area" localSheetId="28">'XL184-IST103'!$A$1:$L$33</definedName>
    <definedName name="_xlnm.Print_Area" localSheetId="29">'Zn-c3-004'!$B$1:$L$34</definedName>
    <definedName name="_xlnm.Print_Titles" localSheetId="1">'ABK-CA-PROT-85'!$24:$24</definedName>
    <definedName name="_xlnm.Print_Titles" localSheetId="2">'AV-299-23-301'!$24:$24</definedName>
    <definedName name="_xlnm.Print_Titles" localSheetId="3">'BC-IMT-04'!$24:$24</definedName>
    <definedName name="_xlnm.Print_Titles" localSheetId="4">'BGB-16673'!$24:$24</definedName>
    <definedName name="_xlnm.Print_Titles" localSheetId="5">'CA 209-76K'!$24:$24</definedName>
    <definedName name="_xlnm.Print_Titles" localSheetId="6">CA2330000!$24:$24</definedName>
    <definedName name="_xlnm.Print_Titles" localSheetId="7">'CHS-388-202'!$24:$24</definedName>
    <definedName name="_xlnm.Print_Titles" localSheetId="8">'D361DC00001 C'!$24:$24</definedName>
    <definedName name="_xlnm.Print_Titles" localSheetId="9">'D7632C00001 T'!$24:$24</definedName>
    <definedName name="_xlnm.Print_Titles" localSheetId="10">'EF-32'!$24:$24</definedName>
    <definedName name="_xlnm.Print_Titles" localSheetId="11">'GCT1184-02'!$24:$24</definedName>
    <definedName name="_xlnm.Print_Titles" localSheetId="12">'GOG-3041'!$24:$24</definedName>
    <definedName name="_xlnm.Print_Titles" localSheetId="13">'HC366-RCC2311'!$24:$24</definedName>
    <definedName name="_xlnm.Print_Titles" localSheetId="14">'HCRN BRE20-468'!$24:$24</definedName>
    <definedName name="_xlnm.Print_Titles" localSheetId="15">'IMC-F106C-301'!$24:$24</definedName>
    <definedName name="_xlnm.Print_Titles" localSheetId="16">'IMMU-132-06'!$24:$24</definedName>
    <definedName name="_xlnm.Print_Titles" localSheetId="17">'M22-716'!$24:$24</definedName>
    <definedName name="_xlnm.Print_Titles" localSheetId="18">'MK3475-U06'!$24:$24</definedName>
    <definedName name="_xlnm.Print_Titles" localSheetId="19">'MK-5684-004'!$24:$24</definedName>
    <definedName name="_xlnm.Print_Titles" localSheetId="20">'mRNA-4157-P201'!$24:$24</definedName>
    <definedName name="_xlnm.Print_Titles" localSheetId="21">'OLvI-VEC-022'!$24:$24</definedName>
    <definedName name="_xlnm.Print_Titles" localSheetId="23">'PRISM-1'!$24:$24</definedName>
    <definedName name="_xlnm.Print_Titles" localSheetId="24">'RBS2418-1001'!$24:$24</definedName>
    <definedName name="_xlnm.Print_Titles" localSheetId="25">'RLY-2608-101'!$24:$24</definedName>
    <definedName name="_xlnm.Print_Titles" localSheetId="26">'STK-012-101'!$24:$24</definedName>
    <definedName name="_xlnm.Print_Titles" localSheetId="27">'WINDOW Gastric'!$24:$24</definedName>
    <definedName name="_xlnm.Print_Titles" localSheetId="28">'XL184-IST103'!$24:$24</definedName>
    <definedName name="_xlnm.Print_Titles" localSheetId="29">'Zn-c3-004'!$24:$24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Q52" i="14" l="1"/>
</calcChain>
</file>

<file path=xl/sharedStrings.xml><?xml version="1.0" encoding="utf-8"?>
<sst xmlns="http://schemas.openxmlformats.org/spreadsheetml/2006/main" count="2439" uniqueCount="310">
  <si>
    <t>INVOICE NO.:</t>
  </si>
  <si>
    <t>10-2025-1854</t>
  </si>
  <si>
    <t>UNIVERSITY OF ARIZONA</t>
  </si>
  <si>
    <t>MAIL PAYMENT TO:</t>
  </si>
  <si>
    <t>ATTENTION:  SANDRA WARREN</t>
  </si>
  <si>
    <t>BANNER UNIVERSITY MEDICAL CENTER - TUCSON</t>
  </si>
  <si>
    <t>CLINICAL TRIALS - POST AWARD</t>
  </si>
  <si>
    <t>PO BOX 29693</t>
  </si>
  <si>
    <t>UA RESEARCH ADMINISTRATION</t>
  </si>
  <si>
    <t>PHOENIX, AZ 85038-9693</t>
  </si>
  <si>
    <t>1670 E DRACHMAN STREET</t>
  </si>
  <si>
    <t>TUCSON, AZ 85721</t>
  </si>
  <si>
    <t>TIN</t>
  </si>
  <si>
    <t>90-1074557</t>
  </si>
  <si>
    <t>CREDIT CARD PAYMENTS:</t>
  </si>
  <si>
    <t>CALL: 520-874-7200</t>
  </si>
  <si>
    <t xml:space="preserve">STATEMENT OF MEDICAL SERVICES </t>
  </si>
  <si>
    <t>COORDINATOR:</t>
  </si>
  <si>
    <t>Rows needed</t>
  </si>
  <si>
    <t>STUDY NAME:</t>
  </si>
  <si>
    <t>64407564MMY300</t>
  </si>
  <si>
    <t>IRB NO.:</t>
  </si>
  <si>
    <t>Rows to add</t>
  </si>
  <si>
    <t>KFS NO.:</t>
  </si>
  <si>
    <t>AMOUNT ENCLOSED</t>
  </si>
  <si>
    <t>$</t>
  </si>
  <si>
    <t>RESEARCH:</t>
  </si>
  <si>
    <t>Industry</t>
  </si>
  <si>
    <t>LOOKUP ONLY</t>
  </si>
  <si>
    <t>Entity Code</t>
  </si>
  <si>
    <t>Medical Records #</t>
  </si>
  <si>
    <t>Acct #</t>
  </si>
  <si>
    <t>Patient Name</t>
  </si>
  <si>
    <t>DOS</t>
  </si>
  <si>
    <t>Charge #</t>
  </si>
  <si>
    <t>CPT4 Code</t>
  </si>
  <si>
    <t>CPT4 Code Description</t>
  </si>
  <si>
    <t>Charge Amount</t>
  </si>
  <si>
    <t>Adjustment</t>
  </si>
  <si>
    <t>Balance Due</t>
  </si>
  <si>
    <t>00147389</t>
  </si>
  <si>
    <t>STARKS, TERRY L</t>
  </si>
  <si>
    <t>82977</t>
  </si>
  <si>
    <t>LAB TRANSFERASE GAMMA-GLUTAMYL</t>
  </si>
  <si>
    <t>83690</t>
  </si>
  <si>
    <t>LAB LIPASE</t>
  </si>
  <si>
    <t>TOTAL AMOUNT DUE</t>
  </si>
  <si>
    <t>10-2025-3835</t>
  </si>
  <si>
    <t>ABK-CA-PROT-85</t>
  </si>
  <si>
    <t>04042768</t>
  </si>
  <si>
    <t>DAUGHTERY, STEPHEN C</t>
  </si>
  <si>
    <t>74175</t>
  </si>
  <si>
    <t>CTA ABDOMEN W CNT&amp;PP</t>
  </si>
  <si>
    <t>Q9967</t>
  </si>
  <si>
    <t>IOPAMIDOL 76%/1ML 500ML SNIJ MDV</t>
  </si>
  <si>
    <t>10-2025-3753</t>
  </si>
  <si>
    <t>AV-299-23-301</t>
  </si>
  <si>
    <t>31483636</t>
  </si>
  <si>
    <t>DAVIDSON, MICHAEL R</t>
  </si>
  <si>
    <t>70491</t>
  </si>
  <si>
    <t>CT NECK ST W CNT</t>
  </si>
  <si>
    <t>74160</t>
  </si>
  <si>
    <t>CT ABDOMEN W CNT</t>
  </si>
  <si>
    <t>71260</t>
  </si>
  <si>
    <t>CT CHEST DX W CNT</t>
  </si>
  <si>
    <t>IOPAMIDOL 76%/1ML 100ML SNIJ</t>
  </si>
  <si>
    <t>93306</t>
  </si>
  <si>
    <t>ECHO 2D DOPP&amp;CLR FLW CMP WO CNT</t>
  </si>
  <si>
    <t>10-2025-5616</t>
  </si>
  <si>
    <t>BC-IMT-04</t>
  </si>
  <si>
    <t>31273256</t>
  </si>
  <si>
    <t>BEARPAW, MARIAELENA S</t>
  </si>
  <si>
    <t>80053</t>
  </si>
  <si>
    <t>LAB PANEL METAB COMP</t>
  </si>
  <si>
    <t>83615</t>
  </si>
  <si>
    <t>LAB LDH</t>
  </si>
  <si>
    <t>84550</t>
  </si>
  <si>
    <t>LAB ACID URIC BLOOD</t>
  </si>
  <si>
    <t>85025</t>
  </si>
  <si>
    <t>LAB CBC AUTO W AUTO DIFF</t>
  </si>
  <si>
    <t>31171087</t>
  </si>
  <si>
    <t>POWELL, LELA M</t>
  </si>
  <si>
    <t>82024</t>
  </si>
  <si>
    <t>LAB HORMONE ADRENOCORTICOTROPIC</t>
  </si>
  <si>
    <t>82150</t>
  </si>
  <si>
    <t>LAB AMYLASE</t>
  </si>
  <si>
    <t>82533</t>
  </si>
  <si>
    <t>LAB CORTISOL TOTAL</t>
  </si>
  <si>
    <t>83880</t>
  </si>
  <si>
    <t>LAB PEPTIDE NATRIURETIC PB</t>
  </si>
  <si>
    <t>84484</t>
  </si>
  <si>
    <t>LAB TROPONIN QN</t>
  </si>
  <si>
    <t>84443</t>
  </si>
  <si>
    <t>LAB THYROID STIMULATING HORMONE</t>
  </si>
  <si>
    <t>86704</t>
  </si>
  <si>
    <t>LAB AB HEPATITIS B CORE TOTAL</t>
  </si>
  <si>
    <t>86803</t>
  </si>
  <si>
    <t>LAB AB HEPATITIS C</t>
  </si>
  <si>
    <t>85610</t>
  </si>
  <si>
    <t>LAB PROTHROMBIN TIME</t>
  </si>
  <si>
    <t>85730</t>
  </si>
  <si>
    <t>LAB PTT PLASMA/BLD WHL</t>
  </si>
  <si>
    <t>87340</t>
  </si>
  <si>
    <t>LAB DET AG IA HBSAG QL/SEMI QN</t>
  </si>
  <si>
    <t>81001</t>
  </si>
  <si>
    <t>LAB UA AUTO W MICRO</t>
  </si>
  <si>
    <t>04630554</t>
  </si>
  <si>
    <t>KNIGHT, MARIAH L</t>
  </si>
  <si>
    <t>10-2025-1322</t>
  </si>
  <si>
    <t>BGB-16673</t>
  </si>
  <si>
    <t>16156119</t>
  </si>
  <si>
    <t>CHOATE, JUDITH L</t>
  </si>
  <si>
    <t>10-2025-2003443584</t>
  </si>
  <si>
    <t>CA 209-76K</t>
  </si>
  <si>
    <t>31195759</t>
  </si>
  <si>
    <t>HILL, DONNA L</t>
  </si>
  <si>
    <t>74177</t>
  </si>
  <si>
    <t>CT ABDOMEN&amp;PELVIS W CNT</t>
  </si>
  <si>
    <t>10-2025-5059</t>
  </si>
  <si>
    <t>CA2330000</t>
  </si>
  <si>
    <t>04684825</t>
  </si>
  <si>
    <t>PATACONI, DAVID J</t>
  </si>
  <si>
    <t>83735</t>
  </si>
  <si>
    <t>LAB MAGNESIUM</t>
  </si>
  <si>
    <t>84100</t>
  </si>
  <si>
    <t>LAB PHOSPHORUS INORGANIC</t>
  </si>
  <si>
    <t>81003</t>
  </si>
  <si>
    <t>LAB UA AUTO WO MICRO</t>
  </si>
  <si>
    <t>86140</t>
  </si>
  <si>
    <t>LAB PROT C-REACTIVE</t>
  </si>
  <si>
    <t>10-2025-5480</t>
  </si>
  <si>
    <t>CHS-388-202</t>
  </si>
  <si>
    <t>30229058</t>
  </si>
  <si>
    <t>LEE, HUN T</t>
  </si>
  <si>
    <t/>
  </si>
  <si>
    <t>RECOVERY LEVEL 1 FIRST 1MIN</t>
  </si>
  <si>
    <t>RECOVERY LEVEL 1 ADDL 1MIN</t>
  </si>
  <si>
    <t>ENDO GI LEVEL 4 FIRST 15MIN</t>
  </si>
  <si>
    <t>ENDO ANES MAC/GEN FIRST 15MIN</t>
  </si>
  <si>
    <t>80061</t>
  </si>
  <si>
    <t>LAB PANEL LIPID</t>
  </si>
  <si>
    <t>84439</t>
  </si>
  <si>
    <t>LAB THYROXINE T4 FREE</t>
  </si>
  <si>
    <t>86664</t>
  </si>
  <si>
    <t>LAB AB EBV EBNA</t>
  </si>
  <si>
    <t>86665</t>
  </si>
  <si>
    <t>LAB AB EBV VCA IGG</t>
  </si>
  <si>
    <t>LAB AB EBV VCA IGM</t>
  </si>
  <si>
    <t>86703</t>
  </si>
  <si>
    <t>LAB AB HIV-1&amp;HIV-2 RESULT SGL</t>
  </si>
  <si>
    <t>87517</t>
  </si>
  <si>
    <t>LAB DET IA HEP B QN</t>
  </si>
  <si>
    <t>93005</t>
  </si>
  <si>
    <t>EKG TRACING ROUTINE 12+ LEADS</t>
  </si>
  <si>
    <t>10-2025-4723</t>
  </si>
  <si>
    <t>D361DC00001 C</t>
  </si>
  <si>
    <t>31153472</t>
  </si>
  <si>
    <t>GUTIERREZ, ELDA J</t>
  </si>
  <si>
    <t>30221331</t>
  </si>
  <si>
    <t>COLLI, CARLA M</t>
  </si>
  <si>
    <t>10-2025-5044</t>
  </si>
  <si>
    <t>D7632C00001 T</t>
  </si>
  <si>
    <t>31480880</t>
  </si>
  <si>
    <t>SUGAR, JAN M</t>
  </si>
  <si>
    <t>10-2025-2108180277</t>
  </si>
  <si>
    <t>EF-32</t>
  </si>
  <si>
    <t>31364190</t>
  </si>
  <si>
    <t>PETRY, LISA L</t>
  </si>
  <si>
    <t>10-2025-5556</t>
  </si>
  <si>
    <t>GCT1184-02</t>
  </si>
  <si>
    <t>31298046</t>
  </si>
  <si>
    <t>GENTRY, ANGELINA R</t>
  </si>
  <si>
    <t>96377</t>
  </si>
  <si>
    <t>APPL INJECTOR ON-BODY</t>
  </si>
  <si>
    <t>10-2025-2101341520</t>
  </si>
  <si>
    <t>GOG-3041</t>
  </si>
  <si>
    <t>31259506</t>
  </si>
  <si>
    <t>CALAIS, KODI G</t>
  </si>
  <si>
    <t>31263536</t>
  </si>
  <si>
    <t>HILL, VALERIE J</t>
  </si>
  <si>
    <t>10-2025-4287</t>
  </si>
  <si>
    <t>HC366-RCC2311</t>
  </si>
  <si>
    <t>31255395</t>
  </si>
  <si>
    <t>MEYERS, STEVEN D</t>
  </si>
  <si>
    <t>84403</t>
  </si>
  <si>
    <t>LAB TESTOSTERONE TOTAL</t>
  </si>
  <si>
    <t>31296691</t>
  </si>
  <si>
    <t>VALLECORONA, MARIA D</t>
  </si>
  <si>
    <t>82670</t>
  </si>
  <si>
    <t>LAB ESTRADIOL TOTAL</t>
  </si>
  <si>
    <t>82465</t>
  </si>
  <si>
    <t>LAB CHOLESTEROL SRM/BLD WHL TTL</t>
  </si>
  <si>
    <t>83001</t>
  </si>
  <si>
    <t>LAB GONADOTROPIN FSH SERUM</t>
  </si>
  <si>
    <t>83003</t>
  </si>
  <si>
    <t>LAB HORMONE HUMAN GROWTH</t>
  </si>
  <si>
    <t>30226923</t>
  </si>
  <si>
    <t>CARRILLO, FELIX B</t>
  </si>
  <si>
    <t>New total without incorrect rates</t>
  </si>
  <si>
    <t>10-2025-2120</t>
  </si>
  <si>
    <t>HCRN BRE20-468</t>
  </si>
  <si>
    <t>31305560</t>
  </si>
  <si>
    <t>VILLEGAS, PATRICIA</t>
  </si>
  <si>
    <t>10-2025-4524</t>
  </si>
  <si>
    <t>IMC-F106C-301</t>
  </si>
  <si>
    <t>31029989</t>
  </si>
  <si>
    <t>PEARCE, PHIL S</t>
  </si>
  <si>
    <t>10-2025-1903472445</t>
  </si>
  <si>
    <t>IMMU-132-06</t>
  </si>
  <si>
    <t>31223380</t>
  </si>
  <si>
    <t>RIGGLE, NATHAN D</t>
  </si>
  <si>
    <t>31314211</t>
  </si>
  <si>
    <t>HOOKER, LORACE M</t>
  </si>
  <si>
    <t>10-2025-2606</t>
  </si>
  <si>
    <t>M22-716</t>
  </si>
  <si>
    <t>31124602</t>
  </si>
  <si>
    <t>HERNANDEZ, MARGARITA C</t>
  </si>
  <si>
    <t>83036</t>
  </si>
  <si>
    <t>LAB HEMOGLOBIN A1C</t>
  </si>
  <si>
    <t>83519</t>
  </si>
  <si>
    <t>LAB IMM RIA QN</t>
  </si>
  <si>
    <t>83937</t>
  </si>
  <si>
    <t>LAB OSTEOCALCIN</t>
  </si>
  <si>
    <t>84478</t>
  </si>
  <si>
    <t>LAB TRIGLYCERIDES</t>
  </si>
  <si>
    <t>84480</t>
  </si>
  <si>
    <t>LAB TRIIODOTHYRONINE T3 TOTAL</t>
  </si>
  <si>
    <t>87385</t>
  </si>
  <si>
    <t>LAB DET AG IA IMM ENZ HISTOPLASMA</t>
  </si>
  <si>
    <t>84075</t>
  </si>
  <si>
    <t>LAB ALKALINE PHOSPHATASE NS</t>
  </si>
  <si>
    <t>82523</t>
  </si>
  <si>
    <t>LAB CROSS LINKS N-TELOPEPTIDE</t>
  </si>
  <si>
    <t>31024448</t>
  </si>
  <si>
    <t>FERRANTI, ALEXIA K</t>
  </si>
  <si>
    <t>10-2025-4725</t>
  </si>
  <si>
    <t>MK3475-U06</t>
  </si>
  <si>
    <t>31457191</t>
  </si>
  <si>
    <t>CHANG, MI S</t>
  </si>
  <si>
    <t>10-2025-3932</t>
  </si>
  <si>
    <t>MK-5684-004</t>
  </si>
  <si>
    <t>31433754</t>
  </si>
  <si>
    <t>MORALES, JOSE M</t>
  </si>
  <si>
    <t>10-2025-2006796061</t>
  </si>
  <si>
    <t>mRNA-4157-P201</t>
  </si>
  <si>
    <t>31430122</t>
  </si>
  <si>
    <t>STOCKS, DIANE E</t>
  </si>
  <si>
    <t>31431518</t>
  </si>
  <si>
    <t>GOLDBERG, PAULA F</t>
  </si>
  <si>
    <t>10-2025-2077</t>
  </si>
  <si>
    <t>OLvI-VEC-022</t>
  </si>
  <si>
    <t>31466646</t>
  </si>
  <si>
    <t>HERRON, CANDACE J</t>
  </si>
  <si>
    <t>84145</t>
  </si>
  <si>
    <t>LAB PROCALCITONIN</t>
  </si>
  <si>
    <t>10-2025-3820</t>
  </si>
  <si>
    <t>OP-1250-301 O</t>
  </si>
  <si>
    <t>15705080</t>
  </si>
  <si>
    <t>FRENCH, MARGARET E</t>
  </si>
  <si>
    <t>10-2025-4985</t>
  </si>
  <si>
    <t>PRISM-1</t>
  </si>
  <si>
    <t>31170818</t>
  </si>
  <si>
    <t>MCSPADDEN, ROBIN C</t>
  </si>
  <si>
    <t>10-2025-1160</t>
  </si>
  <si>
    <t>RBS2418-1001</t>
  </si>
  <si>
    <t>30131591</t>
  </si>
  <si>
    <t>WILLIAMS, DON R</t>
  </si>
  <si>
    <t>82550</t>
  </si>
  <si>
    <t>LAB CREATINE KINASE TOTAL</t>
  </si>
  <si>
    <t>84481</t>
  </si>
  <si>
    <t>LAB TRIIODOTHYRONINE T3 FREE</t>
  </si>
  <si>
    <t>10-2025-848</t>
  </si>
  <si>
    <t>RLY-2608-101</t>
  </si>
  <si>
    <t>16730657</t>
  </si>
  <si>
    <t>SEITZ, LINDA S</t>
  </si>
  <si>
    <t>10-2025-5740</t>
  </si>
  <si>
    <t>STK-012-101</t>
  </si>
  <si>
    <t>15086002</t>
  </si>
  <si>
    <t>ROBERTSON, IAN R</t>
  </si>
  <si>
    <t>10-2025-1728</t>
  </si>
  <si>
    <t>WINDOW Gastric</t>
  </si>
  <si>
    <t>Federal</t>
  </si>
  <si>
    <t>31471818</t>
  </si>
  <si>
    <t>YAKOVLEVA, VALENTINA P</t>
  </si>
  <si>
    <t>FORCEP LVL 03</t>
  </si>
  <si>
    <t>C1052</t>
  </si>
  <si>
    <t>HEMOSTATIC AGENT GI TOP LVL 07</t>
  </si>
  <si>
    <t>J2704</t>
  </si>
  <si>
    <t>PROPOFOL/10MG 200MG/20ML SNIJ</t>
  </si>
  <si>
    <t>J1100</t>
  </si>
  <si>
    <t>DEXAMTH SOD PHS/1MG 4MG/1ML SNIJ</t>
  </si>
  <si>
    <t>J2405</t>
  </si>
  <si>
    <t>ONDANSETRN HCL/1MG 4MG/2ML SNIJ</t>
  </si>
  <si>
    <t>J2003</t>
  </si>
  <si>
    <t>LIDO 1% MPF/1MG 50MG/5ML SNIJ</t>
  </si>
  <si>
    <t>ENDO GI LEVEL 4 ADDL 15MIN</t>
  </si>
  <si>
    <t>ENDO ANES MAC/GEN ADDL 15MIN</t>
  </si>
  <si>
    <t>10-2025-2108097176</t>
  </si>
  <si>
    <t>XL184-IST103</t>
  </si>
  <si>
    <t>31477161</t>
  </si>
  <si>
    <t>BRAND, CORTNEY C</t>
  </si>
  <si>
    <t>10-2025-3975</t>
  </si>
  <si>
    <t>Zn-c3-004</t>
  </si>
  <si>
    <t>31305120</t>
  </si>
  <si>
    <t>WEGHORST, KUMOK</t>
  </si>
  <si>
    <t>PI</t>
  </si>
  <si>
    <t>Husnain</t>
  </si>
  <si>
    <t>PO 810915</t>
  </si>
  <si>
    <t>KD 01/20/2026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</si>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</sst>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[$-10409]yyyy\-mm\-dd"/>
    <numFmt numFmtId="165" formatCode="[$-10409]&quot;$&quot;#,##0.00;\(&quot;$&quot;#,##0.00\)"/>
    <numFmt numFmtId="166" formatCode="mm/dd/yy;@"/>
  </numFmts>
  <fonts count="15" x14ac:knownFonts="1">
    <font>
      <sz val="11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sz val="9"/>
      <name val="Tahoma"/>
      <family val="2"/>
    </font>
    <font>
      <sz val="9"/>
      <name val="Bahnschrift Light"/>
      <family val="2"/>
    </font>
    <font>
      <sz val="9"/>
      <color indexed="8"/>
      <name val="Tahoma"/>
      <family val="2"/>
    </font>
    <font>
      <strike/>
      <sz val="9"/>
      <name val="Bahnschrift Light"/>
      <family val="2"/>
    </font>
    <font>
      <strike/>
      <sz val="9"/>
      <name val="Arial"/>
      <family val="2"/>
    </font>
    <font>
      <strike/>
      <sz val="9"/>
      <color indexed="8"/>
      <name val="Tahoma"/>
      <family val="2"/>
    </font>
    <font>
      <strike/>
      <sz val="10"/>
      <color theme="1"/>
      <name val="Arial"/>
      <family val="2"/>
    </font>
    <font>
      <b/>
      <strike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1" applyFont="1"/>
    <xf numFmtId="0" fontId="3" fillId="0" borderId="0" xfId="2"/>
    <xf numFmtId="0" fontId="4" fillId="0" borderId="0" xfId="1" applyFont="1"/>
    <xf numFmtId="14" fontId="4" fillId="0" borderId="0" xfId="1" applyNumberFormat="1" applyFont="1"/>
    <xf numFmtId="0" fontId="5" fillId="0" borderId="0" xfId="1" applyFont="1"/>
    <xf numFmtId="0" fontId="4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2" xfId="1" applyFont="1" applyBorder="1" applyAlignment="1">
      <alignment vertical="center"/>
    </xf>
    <xf numFmtId="0" fontId="2" fillId="0" borderId="2" xfId="1" applyFont="1" applyBorder="1"/>
    <xf numFmtId="0" fontId="2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4" fillId="0" borderId="4" xfId="1" applyFont="1" applyBorder="1" applyAlignment="1">
      <alignment horizontal="center" vertical="center" wrapText="1"/>
    </xf>
    <xf numFmtId="0" fontId="1" fillId="3" borderId="0" xfId="2" applyFont="1" applyFill="1" applyAlignment="1">
      <alignment horizontal="left" vertical="center"/>
    </xf>
    <xf numFmtId="0" fontId="6" fillId="3" borderId="0" xfId="2" applyFont="1" applyFill="1" applyAlignment="1" applyProtection="1">
      <alignment horizontal="center" vertical="center" wrapText="1" readingOrder="1"/>
      <protection locked="0"/>
    </xf>
    <xf numFmtId="0" fontId="1" fillId="3" borderId="0" xfId="2" applyFont="1" applyFill="1"/>
    <xf numFmtId="0" fontId="7" fillId="0" borderId="0" xfId="0" applyFont="1"/>
    <xf numFmtId="0" fontId="2" fillId="0" borderId="0" xfId="2" applyFont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horizontal="center" vertical="center" wrapText="1" readingOrder="1"/>
      <protection locked="0"/>
    </xf>
    <xf numFmtId="0" fontId="3" fillId="0" borderId="0" xfId="2" applyAlignment="1">
      <alignment vertical="center"/>
    </xf>
    <xf numFmtId="0" fontId="8" fillId="0" borderId="0" xfId="2" applyFont="1" applyAlignment="1" applyProtection="1">
      <alignment vertical="center" wrapText="1" readingOrder="1"/>
      <protection locked="0"/>
    </xf>
    <xf numFmtId="164" fontId="8" fillId="0" borderId="0" xfId="2" applyNumberFormat="1" applyFont="1" applyAlignment="1" applyProtection="1">
      <alignment vertical="center" wrapText="1" readingOrder="1"/>
      <protection locked="0"/>
    </xf>
    <xf numFmtId="165" fontId="8" fillId="0" borderId="0" xfId="2" applyNumberFormat="1" applyFont="1" applyAlignment="1" applyProtection="1">
      <alignment vertical="center" wrapText="1" readingOrder="1"/>
      <protection locked="0"/>
    </xf>
    <xf numFmtId="166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44" fontId="4" fillId="0" borderId="0" xfId="3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44" fontId="2" fillId="0" borderId="0" xfId="3" applyFont="1" applyBorder="1" applyAlignment="1">
      <alignment vertical="center"/>
    </xf>
    <xf numFmtId="165" fontId="4" fillId="0" borderId="6" xfId="1" applyNumberFormat="1" applyFont="1" applyBorder="1" applyAlignment="1">
      <alignment vertical="center"/>
    </xf>
    <xf numFmtId="0" fontId="4" fillId="0" borderId="0" xfId="1" applyFont="1" applyAlignment="1">
      <alignment vertical="center" wrapText="1"/>
    </xf>
    <xf numFmtId="165" fontId="4" fillId="0" borderId="0" xfId="1" applyNumberFormat="1" applyFont="1" applyAlignment="1">
      <alignment vertical="center"/>
    </xf>
    <xf numFmtId="7" fontId="3" fillId="0" borderId="0" xfId="2" applyNumberFormat="1"/>
    <xf numFmtId="0" fontId="9" fillId="0" borderId="0" xfId="0" applyFont="1"/>
    <xf numFmtId="0" fontId="10" fillId="0" borderId="0" xfId="2" applyFont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center" vertical="center" wrapText="1" readingOrder="1"/>
      <protection locked="0"/>
    </xf>
    <xf numFmtId="0" fontId="12" fillId="0" borderId="0" xfId="2" applyFont="1" applyAlignment="1">
      <alignment vertical="center"/>
    </xf>
    <xf numFmtId="0" fontId="11" fillId="0" borderId="0" xfId="2" applyFont="1" applyAlignment="1" applyProtection="1">
      <alignment vertical="center" wrapText="1" readingOrder="1"/>
      <protection locked="0"/>
    </xf>
    <xf numFmtId="164" fontId="11" fillId="0" borderId="0" xfId="2" applyNumberFormat="1" applyFont="1" applyAlignment="1" applyProtection="1">
      <alignment vertical="center" wrapText="1" readingOrder="1"/>
      <protection locked="0"/>
    </xf>
    <xf numFmtId="165" fontId="11" fillId="0" borderId="0" xfId="2" applyNumberFormat="1" applyFont="1" applyAlignment="1" applyProtection="1">
      <alignment vertical="center" wrapText="1" readingOrder="1"/>
      <protection locked="0"/>
    </xf>
    <xf numFmtId="165" fontId="13" fillId="0" borderId="6" xfId="1" applyNumberFormat="1" applyFont="1" applyBorder="1" applyAlignment="1">
      <alignment vertical="center"/>
    </xf>
    <xf numFmtId="165" fontId="3" fillId="0" borderId="0" xfId="2" applyNumberFormat="1"/>
    <xf numFmtId="0" fontId="14" fillId="0" borderId="0" xfId="1" applyFont="1"/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165" fontId="4" fillId="2" borderId="5" xfId="1" applyNumberFormat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/>
    </xf>
  </cellXfs>
  <cellStyles count="4">
    <cellStyle name="Currency 2" xfId="3" xr:uid="{D6F2E6EB-ABFE-457F-8D8F-F6129093C993}"/>
    <cellStyle name="Normal" xfId="0" builtinId="0"/>
    <cellStyle name="Normal 2" xfId="2" xr:uid="{693297F6-F408-4496-AD83-17873A767773}"/>
    <cellStyle name="Normal_Statements1" xfId="1" xr:uid="{073E146B-40E4-4548-B8A4-02C3D0FC22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22C47D4D-2CCB-4A43-AB78-2034E19D9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79C78007-C237-4CCB-8BE8-041C5A574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5D77FA9E-876A-49BB-9F4D-47F43BAC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21763A80-A1C5-43C3-AAD3-035AC4523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E69A5BD8-2BF4-4BF6-925E-09C508406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67D61300-7FC4-4E6F-85B4-435C06ED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976252E8-DF31-466E-91A7-C1E9569DA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0AE87D1D-CB44-4F28-9F91-49F4F7DDA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DB3D1F70-8074-4285-B56C-BE5D53DA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0BFC2325-9E12-4EE6-B571-C33D09271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675972B4-26E0-496B-B5E1-DA74C0B7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EE3BD545-2A66-4287-B1DE-C22DFF9C5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D3C9E40A-9223-4471-A613-57FEB535D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FB1A5792-E64B-4CDB-92F5-20B2D962A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52690074-03FB-4D66-B280-E0ADC102E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04296355-1A5C-49BD-B7D4-A13AECB1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411282BF-380C-4ACC-A98D-E1CB37DC2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A9A8770E-671F-417B-AED0-5C7ED055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08FAE623-4865-4647-863F-7098C7F55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6F449297-BAC4-476A-8693-3BBE1C181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5BA91F9D-B58C-426B-9662-230DCD60F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4905C1B7-1650-43D2-8BAF-435A81D8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1970C6B7-050A-4FD6-91EC-9C90F288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D4365A2F-B8BF-49AD-8467-7B4BF33F3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220B1056-2E69-411C-8AA9-D143D08C0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ED8B625F-B3FE-411D-8EEC-006973F3D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A8ACFBD4-35E7-4826-8720-242148A7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3E4E4959-DA6B-4AE0-A1EE-4F07E64DA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4EE25EE5-F6C5-4752-8609-4F5E48373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62678A7A-FAC2-485D-BA23-2CD1F4B1A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49FB-980D-49FE-A616-6762FAB23735}">
  <sheetPr>
    <tabColor rgb="FFFF0000"/>
    <pageSetUpPr fitToPage="1"/>
  </sheetPr>
  <dimension ref="A1:M39"/>
  <sheetViews>
    <sheetView tabSelected="1" topLeftCell="B1" zoomScaleNormal="100" workbookViewId="0">
      <selection activeCell="E29" sqref="E29"/>
    </sheetView>
  </sheetViews>
  <sheetFormatPr defaultColWidth="8.85546875" defaultRowHeight="12.75" x14ac:dyDescent="0.2"/>
  <cols>
    <col min="1" max="1" width="14.42578125" style="2" hidden="1" customWidth="1"/>
    <col min="2" max="2" width="15.85546875" style="2" customWidth="1"/>
    <col min="3" max="3" width="22.285156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28515625" style="2" bestFit="1" customWidth="1"/>
    <col min="11" max="11" width="11.140625" style="2" customWidth="1"/>
    <col min="12" max="12" width="9" style="2" customWidth="1"/>
    <col min="13" max="13" width="13.42578125" style="2" bestFit="1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45" t="s">
        <v>307</v>
      </c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3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3" x14ac:dyDescent="0.2">
      <c r="B18" s="12" t="s">
        <v>305</v>
      </c>
      <c r="C18" s="12" t="s">
        <v>306</v>
      </c>
      <c r="D18" s="12"/>
      <c r="E18" s="11"/>
      <c r="F18" s="12"/>
      <c r="G18" s="12"/>
      <c r="H18" s="12"/>
      <c r="I18" s="1"/>
      <c r="J18" s="12"/>
      <c r="K18" s="12"/>
      <c r="L18" s="12"/>
    </row>
    <row r="19" spans="1:13" x14ac:dyDescent="0.2">
      <c r="A19" s="2" t="s">
        <v>18</v>
      </c>
      <c r="B19" s="12" t="s">
        <v>19</v>
      </c>
      <c r="C19" s="13" t="s">
        <v>20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3" ht="13.5" thickBot="1" x14ac:dyDescent="0.25">
      <c r="A20" s="2">
        <v>2</v>
      </c>
      <c r="B20" s="12" t="s">
        <v>21</v>
      </c>
      <c r="C20" s="13">
        <v>1854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3" ht="13.9" customHeight="1" thickBot="1" x14ac:dyDescent="0.25">
      <c r="A21" s="2" t="s">
        <v>22</v>
      </c>
      <c r="B21" s="12" t="s">
        <v>23</v>
      </c>
      <c r="C21" s="13">
        <v>4266520</v>
      </c>
      <c r="E21" s="11"/>
      <c r="F21" s="14"/>
      <c r="G21" s="14"/>
      <c r="H21" s="15"/>
      <c r="I21" s="16" t="s">
        <v>24</v>
      </c>
      <c r="J21" s="50">
        <f>L30</f>
        <v>19.73</v>
      </c>
      <c r="K21" s="51"/>
      <c r="L21" s="12"/>
    </row>
    <row r="22" spans="1:13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3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3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  <c r="M24" s="19" t="s">
        <v>308</v>
      </c>
    </row>
    <row r="25" spans="1:13" ht="22.5" x14ac:dyDescent="0.2">
      <c r="A25" s="20">
        <v>46</v>
      </c>
      <c r="B25" s="21">
        <v>483</v>
      </c>
      <c r="C25" s="22" t="s">
        <v>40</v>
      </c>
      <c r="D25" s="23">
        <v>68685734</v>
      </c>
      <c r="E25" s="24" t="s">
        <v>41</v>
      </c>
      <c r="F25" s="25">
        <v>45938</v>
      </c>
      <c r="G25" s="24">
        <v>3073061</v>
      </c>
      <c r="H25" s="22" t="s">
        <v>42</v>
      </c>
      <c r="I25" s="24" t="s">
        <v>43</v>
      </c>
      <c r="J25" s="26">
        <v>22</v>
      </c>
      <c r="K25" s="26">
        <v>11.92</v>
      </c>
      <c r="L25" s="26">
        <v>10.08</v>
      </c>
      <c r="M25" s="2" t="s">
        <v>309</v>
      </c>
    </row>
    <row r="26" spans="1:13" x14ac:dyDescent="0.2">
      <c r="A26" s="20">
        <v>47</v>
      </c>
      <c r="B26" s="21">
        <v>483</v>
      </c>
      <c r="C26" s="22" t="s">
        <v>40</v>
      </c>
      <c r="D26" s="23">
        <v>68685734</v>
      </c>
      <c r="E26" s="24" t="s">
        <v>41</v>
      </c>
      <c r="F26" s="25">
        <v>45938</v>
      </c>
      <c r="G26" s="24">
        <v>3074176</v>
      </c>
      <c r="H26" s="22" t="s">
        <v>44</v>
      </c>
      <c r="I26" s="24" t="s">
        <v>45</v>
      </c>
      <c r="J26" s="26">
        <v>70</v>
      </c>
      <c r="K26" s="26">
        <v>60.35</v>
      </c>
      <c r="L26" s="26">
        <v>9.65</v>
      </c>
      <c r="M26" s="2" t="s">
        <v>309</v>
      </c>
    </row>
    <row r="27" spans="1:13" ht="13.5" customHeight="1" x14ac:dyDescent="0.2">
      <c r="B27" s="11"/>
      <c r="C27" s="27"/>
      <c r="D27" s="28"/>
      <c r="E27" s="11"/>
      <c r="F27" s="11"/>
      <c r="G27" s="11"/>
      <c r="H27" s="29"/>
      <c r="I27" s="29"/>
      <c r="J27" s="29"/>
      <c r="K27" s="12"/>
      <c r="L27" s="12"/>
    </row>
    <row r="28" spans="1:13" ht="13.5" customHeight="1" x14ac:dyDescent="0.2">
      <c r="B28" s="11"/>
      <c r="C28" s="27"/>
      <c r="D28" s="28"/>
      <c r="E28" s="14"/>
      <c r="F28" s="14"/>
      <c r="G28" s="14"/>
      <c r="H28" s="14"/>
      <c r="I28" s="29"/>
      <c r="J28" s="29"/>
      <c r="K28" s="12"/>
      <c r="L28" s="12"/>
    </row>
    <row r="29" spans="1:13" ht="13.5" customHeight="1" x14ac:dyDescent="0.2">
      <c r="B29" s="11"/>
      <c r="C29" s="27"/>
      <c r="D29" s="28"/>
      <c r="E29" s="11"/>
      <c r="F29" s="12"/>
      <c r="G29" s="12"/>
      <c r="H29" s="12"/>
      <c r="I29" s="29"/>
      <c r="J29" s="29"/>
      <c r="K29" s="12"/>
      <c r="L29" s="12"/>
    </row>
    <row r="30" spans="1:13" ht="13.5" customHeight="1" thickBot="1" x14ac:dyDescent="0.25">
      <c r="B30" s="11"/>
      <c r="C30" s="27"/>
      <c r="D30" s="12" t="s">
        <v>46</v>
      </c>
      <c r="E30" s="30"/>
      <c r="F30" s="30"/>
      <c r="G30" s="30"/>
      <c r="H30" s="31"/>
      <c r="I30" s="12"/>
      <c r="J30" s="29"/>
      <c r="K30" s="12"/>
      <c r="L30" s="32">
        <v>19.73</v>
      </c>
    </row>
    <row r="31" spans="1:13" ht="13.5" customHeight="1" thickTop="1" x14ac:dyDescent="0.2">
      <c r="B31" s="11"/>
      <c r="C31" s="27"/>
      <c r="D31" s="33"/>
      <c r="E31" s="30"/>
      <c r="F31" s="30"/>
      <c r="G31" s="30"/>
      <c r="H31" s="31"/>
      <c r="I31" s="12"/>
      <c r="J31" s="29"/>
      <c r="K31" s="12"/>
      <c r="L31" s="34"/>
    </row>
    <row r="32" spans="1:13" ht="13.5" customHeight="1" x14ac:dyDescent="0.2"/>
    <row r="33" spans="3:11" ht="13.5" customHeight="1" x14ac:dyDescent="0.2"/>
    <row r="34" spans="3:11" ht="13.5" customHeight="1" x14ac:dyDescent="0.2"/>
    <row r="35" spans="3:11" ht="13.5" customHeight="1" x14ac:dyDescent="0.25">
      <c r="C35"/>
      <c r="D35"/>
      <c r="E35"/>
      <c r="F35"/>
      <c r="G35"/>
      <c r="H35"/>
      <c r="I35"/>
      <c r="J35"/>
      <c r="K35"/>
    </row>
    <row r="36" spans="3:11" ht="13.5" customHeight="1" x14ac:dyDescent="0.2"/>
    <row r="37" spans="3:11" ht="13.5" customHeight="1" x14ac:dyDescent="0.2"/>
    <row r="38" spans="3:11" ht="13.5" customHeight="1" x14ac:dyDescent="0.2"/>
    <row r="39" spans="3:11" ht="13.5" customHeight="1" x14ac:dyDescent="0.2"/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ED429B69-A007-4B78-A37D-3F2B36C1B0F3}">
      <formula1>#REF!</formula1>
    </dataValidation>
  </dataValidations>
  <pageMargins left="0.25" right="0.25" top="0.5" bottom="0.5" header="0.3" footer="0.3"/>
  <pageSetup scale="83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31E1-3D77-437B-8530-0E8212C28BA0}">
  <sheetPr>
    <tabColor rgb="FFFFFF00"/>
    <pageSetUpPr fitToPage="1"/>
  </sheetPr>
  <dimension ref="A1:L35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4.140625" style="2" customWidth="1"/>
    <col min="3" max="3" width="14.42578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" style="2" customWidth="1"/>
    <col min="11" max="11" width="11.28515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47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48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2</v>
      </c>
      <c r="B20" s="12" t="s">
        <v>21</v>
      </c>
      <c r="C20" s="13">
        <v>3835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4271190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ht="22.5" x14ac:dyDescent="0.2">
      <c r="A25" s="20">
        <v>102</v>
      </c>
      <c r="B25" s="21">
        <v>483</v>
      </c>
      <c r="C25" s="22" t="s">
        <v>49</v>
      </c>
      <c r="D25" s="23">
        <v>67754614</v>
      </c>
      <c r="E25" s="24" t="s">
        <v>50</v>
      </c>
      <c r="F25" s="25">
        <v>45953</v>
      </c>
      <c r="G25" s="24">
        <v>3523230</v>
      </c>
      <c r="H25" s="22" t="s">
        <v>51</v>
      </c>
      <c r="I25" s="24" t="s">
        <v>52</v>
      </c>
      <c r="J25" s="26">
        <v>3103</v>
      </c>
      <c r="K25" s="26">
        <v>2051.6999999999998</v>
      </c>
      <c r="L25" s="26">
        <v>1051.3</v>
      </c>
    </row>
    <row r="26" spans="1:12" ht="22.5" x14ac:dyDescent="0.2">
      <c r="A26" s="20">
        <v>103</v>
      </c>
      <c r="B26" s="21">
        <v>483</v>
      </c>
      <c r="C26" s="22" t="s">
        <v>49</v>
      </c>
      <c r="D26" s="23">
        <v>67754614</v>
      </c>
      <c r="E26" s="24" t="s">
        <v>50</v>
      </c>
      <c r="F26" s="25">
        <v>45953</v>
      </c>
      <c r="G26" s="24">
        <v>6868046</v>
      </c>
      <c r="H26" s="22" t="s">
        <v>53</v>
      </c>
      <c r="I26" s="24" t="s">
        <v>54</v>
      </c>
      <c r="J26" s="26">
        <v>48</v>
      </c>
      <c r="K26" s="26">
        <v>31.74</v>
      </c>
      <c r="L26" s="26">
        <v>16.260000000000002</v>
      </c>
    </row>
    <row r="27" spans="1:12" x14ac:dyDescent="0.2">
      <c r="B27" s="11"/>
      <c r="C27" s="27"/>
      <c r="D27" s="28"/>
      <c r="E27" s="11"/>
      <c r="F27" s="11"/>
      <c r="G27" s="11"/>
      <c r="H27" s="29"/>
      <c r="I27" s="29"/>
      <c r="J27" s="29"/>
      <c r="K27" s="12"/>
      <c r="L27" s="12"/>
    </row>
    <row r="28" spans="1:12" x14ac:dyDescent="0.2">
      <c r="B28" s="11"/>
      <c r="C28" s="27"/>
      <c r="D28" s="28"/>
      <c r="E28" s="14"/>
      <c r="F28" s="14"/>
      <c r="G28" s="14"/>
      <c r="H28" s="14"/>
      <c r="I28" s="29"/>
      <c r="J28" s="29"/>
      <c r="K28" s="12"/>
      <c r="L28" s="12"/>
    </row>
    <row r="29" spans="1:12" x14ac:dyDescent="0.2">
      <c r="B29" s="11"/>
      <c r="C29" s="27"/>
      <c r="D29" s="28"/>
      <c r="E29" s="11"/>
      <c r="F29" s="12"/>
      <c r="G29" s="12"/>
      <c r="H29" s="12"/>
      <c r="I29" s="29"/>
      <c r="J29" s="29"/>
      <c r="K29" s="12"/>
      <c r="L29" s="12"/>
    </row>
    <row r="30" spans="1:12" ht="13.5" thickBot="1" x14ac:dyDescent="0.25">
      <c r="B30" s="11"/>
      <c r="C30" s="27"/>
      <c r="D30" s="12" t="s">
        <v>46</v>
      </c>
      <c r="E30" s="30"/>
      <c r="F30" s="30"/>
      <c r="G30" s="30"/>
      <c r="H30" s="31"/>
      <c r="I30" s="12"/>
      <c r="J30" s="29"/>
      <c r="K30" s="12"/>
      <c r="L30" s="32">
        <v>1067.56</v>
      </c>
    </row>
    <row r="31" spans="1:12" ht="13.5" thickTop="1" x14ac:dyDescent="0.2">
      <c r="B31" s="11"/>
      <c r="C31" s="27"/>
      <c r="D31" s="33"/>
      <c r="E31" s="30"/>
      <c r="F31" s="30"/>
      <c r="G31" s="30"/>
      <c r="H31" s="31"/>
      <c r="I31" s="12"/>
      <c r="J31" s="29"/>
      <c r="K31" s="12"/>
      <c r="L31" s="34"/>
    </row>
    <row r="35" spans="3:11" ht="59.65" customHeight="1" x14ac:dyDescent="0.25">
      <c r="C35"/>
      <c r="D35"/>
      <c r="E35"/>
      <c r="F35"/>
      <c r="G35"/>
      <c r="H35"/>
      <c r="I35"/>
      <c r="J35"/>
      <c r="K3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717871A9-21DE-48E4-8B6C-BAB1207E57BD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3ED8-C65D-4BDB-8DC8-6E064D133E20}">
  <sheetPr>
    <tabColor rgb="FFFFFF00"/>
    <pageSetUpPr fitToPage="1"/>
  </sheetPr>
  <dimension ref="A1:O38"/>
  <sheetViews>
    <sheetView topLeftCell="B17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55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56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5</v>
      </c>
      <c r="B20" s="12" t="s">
        <v>21</v>
      </c>
      <c r="C20" s="13">
        <v>3753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4270850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92</v>
      </c>
      <c r="B25" s="21">
        <v>484</v>
      </c>
      <c r="C25" s="22" t="s">
        <v>57</v>
      </c>
      <c r="D25" s="23">
        <v>45929502</v>
      </c>
      <c r="E25" s="24" t="s">
        <v>58</v>
      </c>
      <c r="F25" s="25">
        <v>45947</v>
      </c>
      <c r="G25" s="24">
        <v>3522745</v>
      </c>
      <c r="H25" s="22" t="s">
        <v>59</v>
      </c>
      <c r="I25" s="24" t="s">
        <v>60</v>
      </c>
      <c r="J25" s="26">
        <v>2538</v>
      </c>
      <c r="K25" s="26">
        <v>1734.98</v>
      </c>
      <c r="L25" s="26">
        <v>803.02</v>
      </c>
      <c r="N25" s="35"/>
      <c r="O25" s="35"/>
    </row>
    <row r="26" spans="1:15" ht="22.5" x14ac:dyDescent="0.2">
      <c r="A26" s="20">
        <v>93</v>
      </c>
      <c r="B26" s="21">
        <v>484</v>
      </c>
      <c r="C26" s="22" t="s">
        <v>57</v>
      </c>
      <c r="D26" s="23">
        <v>45929502</v>
      </c>
      <c r="E26" s="24" t="s">
        <v>58</v>
      </c>
      <c r="F26" s="25">
        <v>45947</v>
      </c>
      <c r="G26" s="24">
        <v>3522844</v>
      </c>
      <c r="H26" s="22" t="s">
        <v>61</v>
      </c>
      <c r="I26" s="24" t="s">
        <v>62</v>
      </c>
      <c r="J26" s="26">
        <v>2463</v>
      </c>
      <c r="K26" s="26">
        <v>1683.71</v>
      </c>
      <c r="L26" s="26">
        <v>779.29</v>
      </c>
      <c r="N26" s="35"/>
      <c r="O26" s="35"/>
    </row>
    <row r="27" spans="1:15" ht="22.5" x14ac:dyDescent="0.2">
      <c r="A27" s="20">
        <v>94</v>
      </c>
      <c r="B27" s="21">
        <v>484</v>
      </c>
      <c r="C27" s="22" t="s">
        <v>57</v>
      </c>
      <c r="D27" s="23">
        <v>45929502</v>
      </c>
      <c r="E27" s="24" t="s">
        <v>58</v>
      </c>
      <c r="F27" s="25">
        <v>45947</v>
      </c>
      <c r="G27" s="24">
        <v>3522893</v>
      </c>
      <c r="H27" s="22" t="s">
        <v>63</v>
      </c>
      <c r="I27" s="24" t="s">
        <v>64</v>
      </c>
      <c r="J27" s="26">
        <v>2467</v>
      </c>
      <c r="K27" s="26">
        <v>1686.44</v>
      </c>
      <c r="L27" s="26">
        <v>780.56</v>
      </c>
      <c r="N27" s="35"/>
      <c r="O27" s="35"/>
    </row>
    <row r="28" spans="1:15" ht="22.5" x14ac:dyDescent="0.2">
      <c r="A28" s="20">
        <v>95</v>
      </c>
      <c r="B28" s="21">
        <v>484</v>
      </c>
      <c r="C28" s="22" t="s">
        <v>57</v>
      </c>
      <c r="D28" s="23">
        <v>45929502</v>
      </c>
      <c r="E28" s="24" t="s">
        <v>58</v>
      </c>
      <c r="F28" s="25">
        <v>45947</v>
      </c>
      <c r="G28" s="24">
        <v>6868061</v>
      </c>
      <c r="H28" s="22" t="s">
        <v>53</v>
      </c>
      <c r="I28" s="24" t="s">
        <v>65</v>
      </c>
      <c r="J28" s="26">
        <v>60</v>
      </c>
      <c r="K28" s="26">
        <v>41.019999999999996</v>
      </c>
      <c r="L28" s="26">
        <v>18.98</v>
      </c>
      <c r="N28" s="35"/>
      <c r="O28" s="35"/>
    </row>
    <row r="29" spans="1:15" ht="22.5" x14ac:dyDescent="0.2">
      <c r="A29" s="20">
        <v>96</v>
      </c>
      <c r="B29" s="21">
        <v>483</v>
      </c>
      <c r="C29" s="22" t="s">
        <v>57</v>
      </c>
      <c r="D29" s="23">
        <v>68812965</v>
      </c>
      <c r="E29" s="24" t="s">
        <v>58</v>
      </c>
      <c r="F29" s="25">
        <v>45958</v>
      </c>
      <c r="G29" s="24">
        <v>4818225</v>
      </c>
      <c r="H29" s="22" t="s">
        <v>66</v>
      </c>
      <c r="I29" s="24" t="s">
        <v>67</v>
      </c>
      <c r="J29" s="26">
        <v>2364</v>
      </c>
      <c r="K29" s="26">
        <v>1563.08</v>
      </c>
      <c r="L29" s="26">
        <v>800.92</v>
      </c>
      <c r="N29" s="35"/>
      <c r="O29" s="35"/>
    </row>
    <row r="30" spans="1:15" x14ac:dyDescent="0.2">
      <c r="B30" s="11"/>
      <c r="C30" s="27"/>
      <c r="D30" s="28"/>
      <c r="E30" s="11"/>
      <c r="F30" s="11"/>
      <c r="G30" s="11"/>
      <c r="H30" s="29"/>
      <c r="I30" s="29"/>
      <c r="J30" s="29"/>
      <c r="K30" s="34"/>
      <c r="L30" s="12"/>
    </row>
    <row r="31" spans="1:15" x14ac:dyDescent="0.2">
      <c r="B31" s="11"/>
      <c r="C31" s="27"/>
      <c r="D31" s="28"/>
      <c r="E31" s="14"/>
      <c r="F31" s="14"/>
      <c r="G31" s="14"/>
      <c r="H31" s="14"/>
      <c r="I31" s="29"/>
      <c r="J31" s="29"/>
      <c r="K31" s="12"/>
      <c r="L31" s="12"/>
    </row>
    <row r="32" spans="1:15" x14ac:dyDescent="0.2">
      <c r="B32" s="11"/>
      <c r="C32" s="27"/>
      <c r="D32" s="28"/>
      <c r="E32" s="11"/>
      <c r="F32" s="12"/>
      <c r="G32" s="12"/>
      <c r="H32" s="12"/>
      <c r="I32" s="29"/>
      <c r="J32" s="29"/>
      <c r="K32" s="12"/>
      <c r="L32" s="12"/>
    </row>
    <row r="33" spans="2:12" ht="13.5" thickBot="1" x14ac:dyDescent="0.25">
      <c r="B33" s="11"/>
      <c r="C33" s="27"/>
      <c r="D33" s="12" t="s">
        <v>46</v>
      </c>
      <c r="E33" s="30"/>
      <c r="F33" s="30"/>
      <c r="G33" s="30"/>
      <c r="H33" s="31"/>
      <c r="I33" s="12"/>
      <c r="J33" s="29"/>
      <c r="K33" s="12"/>
      <c r="L33" s="32">
        <v>3182.77</v>
      </c>
    </row>
    <row r="34" spans="2:12" ht="13.5" thickTop="1" x14ac:dyDescent="0.2">
      <c r="B34" s="11"/>
      <c r="C34" s="27"/>
      <c r="D34" s="33"/>
      <c r="E34" s="30"/>
      <c r="F34" s="30"/>
      <c r="G34" s="30"/>
      <c r="H34" s="31"/>
      <c r="I34" s="12"/>
      <c r="J34" s="29"/>
      <c r="K34" s="12"/>
      <c r="L34" s="34"/>
    </row>
    <row r="38" spans="2:12" ht="59.65" customHeight="1" x14ac:dyDescent="0.25">
      <c r="C38"/>
      <c r="D38"/>
      <c r="E38"/>
      <c r="F38"/>
      <c r="G38"/>
      <c r="H38"/>
      <c r="I38"/>
      <c r="J38"/>
      <c r="K38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8EE82250-6FB9-47F7-BC94-AE4B549FF463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0FC8-F017-48A0-B4AA-4CBFF13DB1F0}">
  <sheetPr>
    <tabColor rgb="FFFFFF00"/>
    <pageSetUpPr fitToPage="1"/>
  </sheetPr>
  <dimension ref="A1:L65"/>
  <sheetViews>
    <sheetView topLeftCell="B48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3.42578125" style="2" customWidth="1"/>
    <col min="3" max="3" width="15.140625" style="2" customWidth="1"/>
    <col min="4" max="4" width="11.42578125" style="2" customWidth="1"/>
    <col min="5" max="5" width="18.42578125" style="2" customWidth="1"/>
    <col min="6" max="7" width="11.42578125" style="2" customWidth="1"/>
    <col min="8" max="8" width="8.85546875" style="2"/>
    <col min="9" max="9" width="19.42578125" style="2" customWidth="1"/>
    <col min="10" max="10" width="10.5703125" style="2" customWidth="1"/>
    <col min="11" max="11" width="12" style="2" customWidth="1"/>
    <col min="12" max="12" width="10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68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69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32</v>
      </c>
      <c r="B20" s="12" t="s">
        <v>21</v>
      </c>
      <c r="C20" s="13">
        <v>5616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4277150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ht="22.5" x14ac:dyDescent="0.2">
      <c r="A25" s="20">
        <v>268</v>
      </c>
      <c r="B25" s="21">
        <v>483</v>
      </c>
      <c r="C25" s="22" t="s">
        <v>70</v>
      </c>
      <c r="D25" s="23">
        <v>68672542</v>
      </c>
      <c r="E25" s="24" t="s">
        <v>71</v>
      </c>
      <c r="F25" s="25">
        <v>45929</v>
      </c>
      <c r="G25" s="24">
        <v>3063641</v>
      </c>
      <c r="H25" s="22" t="s">
        <v>72</v>
      </c>
      <c r="I25" s="24" t="s">
        <v>73</v>
      </c>
      <c r="J25" s="26">
        <v>475</v>
      </c>
      <c r="K25" s="26">
        <v>460.22</v>
      </c>
      <c r="L25" s="26">
        <v>14.78</v>
      </c>
    </row>
    <row r="26" spans="1:12" ht="22.5" x14ac:dyDescent="0.2">
      <c r="A26" s="20">
        <v>269</v>
      </c>
      <c r="B26" s="21">
        <v>483</v>
      </c>
      <c r="C26" s="22" t="s">
        <v>70</v>
      </c>
      <c r="D26" s="23">
        <v>68672542</v>
      </c>
      <c r="E26" s="24" t="s">
        <v>71</v>
      </c>
      <c r="F26" s="25">
        <v>45936</v>
      </c>
      <c r="G26" s="24">
        <v>3073061</v>
      </c>
      <c r="H26" s="22" t="s">
        <v>42</v>
      </c>
      <c r="I26" s="24" t="s">
        <v>43</v>
      </c>
      <c r="J26" s="26">
        <v>22</v>
      </c>
      <c r="K26" s="26">
        <v>11.92</v>
      </c>
      <c r="L26" s="26">
        <v>10.08</v>
      </c>
    </row>
    <row r="27" spans="1:12" ht="22.5" x14ac:dyDescent="0.2">
      <c r="A27" s="20">
        <v>270</v>
      </c>
      <c r="B27" s="21">
        <v>483</v>
      </c>
      <c r="C27" s="22" t="s">
        <v>70</v>
      </c>
      <c r="D27" s="23">
        <v>68672542</v>
      </c>
      <c r="E27" s="24" t="s">
        <v>71</v>
      </c>
      <c r="F27" s="25">
        <v>45936</v>
      </c>
      <c r="G27" s="24">
        <v>3074085</v>
      </c>
      <c r="H27" s="22" t="s">
        <v>74</v>
      </c>
      <c r="I27" s="24" t="s">
        <v>75</v>
      </c>
      <c r="J27" s="26">
        <v>42</v>
      </c>
      <c r="K27" s="26">
        <v>33.54</v>
      </c>
      <c r="L27" s="26">
        <v>8.4600000000000009</v>
      </c>
    </row>
    <row r="28" spans="1:12" ht="22.5" x14ac:dyDescent="0.2">
      <c r="A28" s="20">
        <v>271</v>
      </c>
      <c r="B28" s="21">
        <v>483</v>
      </c>
      <c r="C28" s="22" t="s">
        <v>70</v>
      </c>
      <c r="D28" s="23">
        <v>68672542</v>
      </c>
      <c r="E28" s="24" t="s">
        <v>71</v>
      </c>
      <c r="F28" s="25">
        <v>45936</v>
      </c>
      <c r="G28" s="24">
        <v>3076544</v>
      </c>
      <c r="H28" s="22" t="s">
        <v>76</v>
      </c>
      <c r="I28" s="24" t="s">
        <v>77</v>
      </c>
      <c r="J28" s="26">
        <v>102</v>
      </c>
      <c r="K28" s="26">
        <v>95.67</v>
      </c>
      <c r="L28" s="26">
        <v>6.33</v>
      </c>
    </row>
    <row r="29" spans="1:12" ht="22.5" x14ac:dyDescent="0.2">
      <c r="A29" s="20">
        <v>272</v>
      </c>
      <c r="B29" s="21">
        <v>483</v>
      </c>
      <c r="C29" s="22" t="s">
        <v>70</v>
      </c>
      <c r="D29" s="23">
        <v>68672542</v>
      </c>
      <c r="E29" s="24" t="s">
        <v>71</v>
      </c>
      <c r="F29" s="25">
        <v>45929</v>
      </c>
      <c r="G29" s="24">
        <v>3079688</v>
      </c>
      <c r="H29" s="22" t="s">
        <v>78</v>
      </c>
      <c r="I29" s="24" t="s">
        <v>79</v>
      </c>
      <c r="J29" s="26">
        <v>81</v>
      </c>
      <c r="K29" s="26">
        <v>70.12</v>
      </c>
      <c r="L29" s="26">
        <v>10.88</v>
      </c>
    </row>
    <row r="30" spans="1:12" ht="33.75" x14ac:dyDescent="0.2">
      <c r="A30" s="20">
        <v>273</v>
      </c>
      <c r="B30" s="21">
        <v>483</v>
      </c>
      <c r="C30" s="22" t="s">
        <v>80</v>
      </c>
      <c r="D30" s="23">
        <v>68623925</v>
      </c>
      <c r="E30" s="24" t="s">
        <v>81</v>
      </c>
      <c r="F30" s="25">
        <v>45926</v>
      </c>
      <c r="G30" s="24">
        <v>3062338</v>
      </c>
      <c r="H30" s="22" t="s">
        <v>82</v>
      </c>
      <c r="I30" s="24" t="s">
        <v>83</v>
      </c>
      <c r="J30" s="26">
        <v>116</v>
      </c>
      <c r="K30" s="26">
        <v>61.93</v>
      </c>
      <c r="L30" s="26">
        <v>54.07</v>
      </c>
    </row>
    <row r="31" spans="1:12" x14ac:dyDescent="0.2">
      <c r="A31" s="20">
        <v>274</v>
      </c>
      <c r="B31" s="21">
        <v>483</v>
      </c>
      <c r="C31" s="22" t="s">
        <v>80</v>
      </c>
      <c r="D31" s="23">
        <v>68623925</v>
      </c>
      <c r="E31" s="24" t="s">
        <v>81</v>
      </c>
      <c r="F31" s="25">
        <v>45926</v>
      </c>
      <c r="G31" s="24">
        <v>3062650</v>
      </c>
      <c r="H31" s="22" t="s">
        <v>84</v>
      </c>
      <c r="I31" s="24" t="s">
        <v>85</v>
      </c>
      <c r="J31" s="26">
        <v>20</v>
      </c>
      <c r="K31" s="26">
        <v>10.93</v>
      </c>
      <c r="L31" s="26">
        <v>9.07</v>
      </c>
    </row>
    <row r="32" spans="1:12" x14ac:dyDescent="0.2">
      <c r="A32" s="20">
        <v>275</v>
      </c>
      <c r="B32" s="21">
        <v>483</v>
      </c>
      <c r="C32" s="22" t="s">
        <v>80</v>
      </c>
      <c r="D32" s="23">
        <v>68623925</v>
      </c>
      <c r="E32" s="24" t="s">
        <v>81</v>
      </c>
      <c r="F32" s="25">
        <v>45926</v>
      </c>
      <c r="G32" s="24">
        <v>3063716</v>
      </c>
      <c r="H32" s="22" t="s">
        <v>86</v>
      </c>
      <c r="I32" s="24" t="s">
        <v>87</v>
      </c>
      <c r="J32" s="26">
        <v>58</v>
      </c>
      <c r="K32" s="26">
        <v>35.18</v>
      </c>
      <c r="L32" s="26">
        <v>22.82</v>
      </c>
    </row>
    <row r="33" spans="1:12" ht="22.5" x14ac:dyDescent="0.2">
      <c r="A33" s="20">
        <v>276</v>
      </c>
      <c r="B33" s="21">
        <v>483</v>
      </c>
      <c r="C33" s="22" t="s">
        <v>80</v>
      </c>
      <c r="D33" s="23">
        <v>68623925</v>
      </c>
      <c r="E33" s="24" t="s">
        <v>81</v>
      </c>
      <c r="F33" s="25">
        <v>45926</v>
      </c>
      <c r="G33" s="24">
        <v>3073061</v>
      </c>
      <c r="H33" s="22" t="s">
        <v>42</v>
      </c>
      <c r="I33" s="24" t="s">
        <v>43</v>
      </c>
      <c r="J33" s="26">
        <v>22</v>
      </c>
      <c r="K33" s="26">
        <v>11.92</v>
      </c>
      <c r="L33" s="26">
        <v>10.08</v>
      </c>
    </row>
    <row r="34" spans="1:12" ht="22.5" x14ac:dyDescent="0.2">
      <c r="A34" s="20">
        <v>277</v>
      </c>
      <c r="B34" s="21">
        <v>483</v>
      </c>
      <c r="C34" s="22" t="s">
        <v>80</v>
      </c>
      <c r="D34" s="23">
        <v>68623925</v>
      </c>
      <c r="E34" s="24" t="s">
        <v>81</v>
      </c>
      <c r="F34" s="25">
        <v>45946</v>
      </c>
      <c r="G34" s="24">
        <v>3073061</v>
      </c>
      <c r="H34" s="22" t="s">
        <v>42</v>
      </c>
      <c r="I34" s="24" t="s">
        <v>43</v>
      </c>
      <c r="J34" s="26">
        <v>22</v>
      </c>
      <c r="K34" s="26">
        <v>11.92</v>
      </c>
      <c r="L34" s="26">
        <v>10.08</v>
      </c>
    </row>
    <row r="35" spans="1:12" x14ac:dyDescent="0.2">
      <c r="A35" s="20">
        <v>278</v>
      </c>
      <c r="B35" s="21">
        <v>483</v>
      </c>
      <c r="C35" s="22" t="s">
        <v>80</v>
      </c>
      <c r="D35" s="23">
        <v>68623925</v>
      </c>
      <c r="E35" s="24" t="s">
        <v>81</v>
      </c>
      <c r="F35" s="25">
        <v>45926</v>
      </c>
      <c r="G35" s="24">
        <v>3074085</v>
      </c>
      <c r="H35" s="22" t="s">
        <v>74</v>
      </c>
      <c r="I35" s="24" t="s">
        <v>75</v>
      </c>
      <c r="J35" s="26">
        <v>42</v>
      </c>
      <c r="K35" s="26">
        <v>33.54</v>
      </c>
      <c r="L35" s="26">
        <v>8.4600000000000009</v>
      </c>
    </row>
    <row r="36" spans="1:12" x14ac:dyDescent="0.2">
      <c r="A36" s="20">
        <v>279</v>
      </c>
      <c r="B36" s="21">
        <v>483</v>
      </c>
      <c r="C36" s="22" t="s">
        <v>80</v>
      </c>
      <c r="D36" s="23">
        <v>68623925</v>
      </c>
      <c r="E36" s="24" t="s">
        <v>81</v>
      </c>
      <c r="F36" s="25">
        <v>45946</v>
      </c>
      <c r="G36" s="24">
        <v>3074085</v>
      </c>
      <c r="H36" s="22" t="s">
        <v>74</v>
      </c>
      <c r="I36" s="24" t="s">
        <v>75</v>
      </c>
      <c r="J36" s="26">
        <v>42</v>
      </c>
      <c r="K36" s="26">
        <v>33.54</v>
      </c>
      <c r="L36" s="26">
        <v>8.4600000000000009</v>
      </c>
    </row>
    <row r="37" spans="1:12" x14ac:dyDescent="0.2">
      <c r="A37" s="20">
        <v>280</v>
      </c>
      <c r="B37" s="21">
        <v>483</v>
      </c>
      <c r="C37" s="22" t="s">
        <v>80</v>
      </c>
      <c r="D37" s="23">
        <v>68623925</v>
      </c>
      <c r="E37" s="24" t="s">
        <v>81</v>
      </c>
      <c r="F37" s="25">
        <v>45926</v>
      </c>
      <c r="G37" s="24">
        <v>3074176</v>
      </c>
      <c r="H37" s="22" t="s">
        <v>44</v>
      </c>
      <c r="I37" s="24" t="s">
        <v>45</v>
      </c>
      <c r="J37" s="26">
        <v>70</v>
      </c>
      <c r="K37" s="26">
        <v>60.35</v>
      </c>
      <c r="L37" s="26">
        <v>9.65</v>
      </c>
    </row>
    <row r="38" spans="1:12" ht="22.5" x14ac:dyDescent="0.2">
      <c r="A38" s="20">
        <v>281</v>
      </c>
      <c r="B38" s="21">
        <v>483</v>
      </c>
      <c r="C38" s="22" t="s">
        <v>80</v>
      </c>
      <c r="D38" s="23">
        <v>68623925</v>
      </c>
      <c r="E38" s="24" t="s">
        <v>81</v>
      </c>
      <c r="F38" s="25">
        <v>45926</v>
      </c>
      <c r="G38" s="24">
        <v>3075454</v>
      </c>
      <c r="H38" s="22" t="s">
        <v>88</v>
      </c>
      <c r="I38" s="24" t="s">
        <v>89</v>
      </c>
      <c r="J38" s="26">
        <v>183</v>
      </c>
      <c r="K38" s="26">
        <v>128.04</v>
      </c>
      <c r="L38" s="26">
        <v>54.96</v>
      </c>
    </row>
    <row r="39" spans="1:12" x14ac:dyDescent="0.2">
      <c r="A39" s="20">
        <v>282</v>
      </c>
      <c r="B39" s="21">
        <v>483</v>
      </c>
      <c r="C39" s="22" t="s">
        <v>80</v>
      </c>
      <c r="D39" s="23">
        <v>68623925</v>
      </c>
      <c r="E39" s="24" t="s">
        <v>81</v>
      </c>
      <c r="F39" s="25">
        <v>45926</v>
      </c>
      <c r="G39" s="24">
        <v>3076460</v>
      </c>
      <c r="H39" s="22" t="s">
        <v>90</v>
      </c>
      <c r="I39" s="24" t="s">
        <v>91</v>
      </c>
      <c r="J39" s="26">
        <v>184</v>
      </c>
      <c r="K39" s="26">
        <v>166.54</v>
      </c>
      <c r="L39" s="26">
        <v>17.46</v>
      </c>
    </row>
    <row r="40" spans="1:12" ht="33.75" x14ac:dyDescent="0.2">
      <c r="A40" s="20">
        <v>283</v>
      </c>
      <c r="B40" s="21">
        <v>483</v>
      </c>
      <c r="C40" s="22" t="s">
        <v>80</v>
      </c>
      <c r="D40" s="23">
        <v>68623925</v>
      </c>
      <c r="E40" s="24" t="s">
        <v>81</v>
      </c>
      <c r="F40" s="25">
        <v>45926</v>
      </c>
      <c r="G40" s="24">
        <v>3076486</v>
      </c>
      <c r="H40" s="22" t="s">
        <v>92</v>
      </c>
      <c r="I40" s="24" t="s">
        <v>93</v>
      </c>
      <c r="J40" s="26">
        <v>93</v>
      </c>
      <c r="K40" s="26">
        <v>69.48</v>
      </c>
      <c r="L40" s="26">
        <v>23.52</v>
      </c>
    </row>
    <row r="41" spans="1:12" x14ac:dyDescent="0.2">
      <c r="A41" s="20">
        <v>284</v>
      </c>
      <c r="B41" s="21">
        <v>483</v>
      </c>
      <c r="C41" s="22" t="s">
        <v>80</v>
      </c>
      <c r="D41" s="23">
        <v>68623925</v>
      </c>
      <c r="E41" s="24" t="s">
        <v>81</v>
      </c>
      <c r="F41" s="25">
        <v>45926</v>
      </c>
      <c r="G41" s="24">
        <v>3076544</v>
      </c>
      <c r="H41" s="22" t="s">
        <v>76</v>
      </c>
      <c r="I41" s="24" t="s">
        <v>77</v>
      </c>
      <c r="J41" s="26">
        <v>102</v>
      </c>
      <c r="K41" s="26">
        <v>95.67</v>
      </c>
      <c r="L41" s="26">
        <v>6.33</v>
      </c>
    </row>
    <row r="42" spans="1:12" x14ac:dyDescent="0.2">
      <c r="A42" s="20">
        <v>285</v>
      </c>
      <c r="B42" s="21">
        <v>483</v>
      </c>
      <c r="C42" s="22" t="s">
        <v>80</v>
      </c>
      <c r="D42" s="23">
        <v>68623925</v>
      </c>
      <c r="E42" s="24" t="s">
        <v>81</v>
      </c>
      <c r="F42" s="25">
        <v>45946</v>
      </c>
      <c r="G42" s="24">
        <v>3076544</v>
      </c>
      <c r="H42" s="22" t="s">
        <v>76</v>
      </c>
      <c r="I42" s="24" t="s">
        <v>77</v>
      </c>
      <c r="J42" s="26">
        <v>102</v>
      </c>
      <c r="K42" s="26">
        <v>95.67</v>
      </c>
      <c r="L42" s="26">
        <v>6.33</v>
      </c>
    </row>
    <row r="43" spans="1:12" ht="22.5" x14ac:dyDescent="0.2">
      <c r="A43" s="20">
        <v>286</v>
      </c>
      <c r="B43" s="21">
        <v>483</v>
      </c>
      <c r="C43" s="22" t="s">
        <v>80</v>
      </c>
      <c r="D43" s="23">
        <v>68623925</v>
      </c>
      <c r="E43" s="24" t="s">
        <v>81</v>
      </c>
      <c r="F43" s="25">
        <v>45926</v>
      </c>
      <c r="G43" s="24">
        <v>3078219</v>
      </c>
      <c r="H43" s="22" t="s">
        <v>94</v>
      </c>
      <c r="I43" s="24" t="s">
        <v>95</v>
      </c>
      <c r="J43" s="26">
        <v>55</v>
      </c>
      <c r="K43" s="26">
        <v>38.129999999999995</v>
      </c>
      <c r="L43" s="26">
        <v>16.87</v>
      </c>
    </row>
    <row r="44" spans="1:12" x14ac:dyDescent="0.2">
      <c r="A44" s="20">
        <v>287</v>
      </c>
      <c r="B44" s="21">
        <v>483</v>
      </c>
      <c r="C44" s="22" t="s">
        <v>80</v>
      </c>
      <c r="D44" s="23">
        <v>68623925</v>
      </c>
      <c r="E44" s="24" t="s">
        <v>81</v>
      </c>
      <c r="F44" s="25">
        <v>45926</v>
      </c>
      <c r="G44" s="24">
        <v>3078243</v>
      </c>
      <c r="H44" s="22" t="s">
        <v>96</v>
      </c>
      <c r="I44" s="24" t="s">
        <v>97</v>
      </c>
      <c r="J44" s="26">
        <v>123</v>
      </c>
      <c r="K44" s="26">
        <v>103.02</v>
      </c>
      <c r="L44" s="26">
        <v>19.98</v>
      </c>
    </row>
    <row r="45" spans="1:12" ht="22.5" x14ac:dyDescent="0.2">
      <c r="A45" s="20">
        <v>288</v>
      </c>
      <c r="B45" s="21">
        <v>483</v>
      </c>
      <c r="C45" s="22" t="s">
        <v>80</v>
      </c>
      <c r="D45" s="23">
        <v>68623925</v>
      </c>
      <c r="E45" s="24" t="s">
        <v>81</v>
      </c>
      <c r="F45" s="25">
        <v>45926</v>
      </c>
      <c r="G45" s="24">
        <v>3086303</v>
      </c>
      <c r="H45" s="22" t="s">
        <v>98</v>
      </c>
      <c r="I45" s="24" t="s">
        <v>99</v>
      </c>
      <c r="J45" s="26">
        <v>66</v>
      </c>
      <c r="K45" s="26">
        <v>59.99</v>
      </c>
      <c r="L45" s="26">
        <v>6.01</v>
      </c>
    </row>
    <row r="46" spans="1:12" ht="22.5" x14ac:dyDescent="0.2">
      <c r="A46" s="20">
        <v>289</v>
      </c>
      <c r="B46" s="21">
        <v>483</v>
      </c>
      <c r="C46" s="22" t="s">
        <v>80</v>
      </c>
      <c r="D46" s="23">
        <v>68623925</v>
      </c>
      <c r="E46" s="24" t="s">
        <v>81</v>
      </c>
      <c r="F46" s="25">
        <v>45926</v>
      </c>
      <c r="G46" s="24">
        <v>3086428</v>
      </c>
      <c r="H46" s="22" t="s">
        <v>100</v>
      </c>
      <c r="I46" s="24" t="s">
        <v>101</v>
      </c>
      <c r="J46" s="26">
        <v>62</v>
      </c>
      <c r="K46" s="26">
        <v>53.59</v>
      </c>
      <c r="L46" s="26">
        <v>8.41</v>
      </c>
    </row>
    <row r="47" spans="1:12" ht="22.5" x14ac:dyDescent="0.2">
      <c r="A47" s="20">
        <v>290</v>
      </c>
      <c r="B47" s="21">
        <v>483</v>
      </c>
      <c r="C47" s="22" t="s">
        <v>80</v>
      </c>
      <c r="D47" s="23">
        <v>68623925</v>
      </c>
      <c r="E47" s="24" t="s">
        <v>81</v>
      </c>
      <c r="F47" s="25">
        <v>45926</v>
      </c>
      <c r="G47" s="24">
        <v>3087228</v>
      </c>
      <c r="H47" s="22" t="s">
        <v>102</v>
      </c>
      <c r="I47" s="24" t="s">
        <v>103</v>
      </c>
      <c r="J47" s="26">
        <v>97</v>
      </c>
      <c r="K47" s="26">
        <v>82.539999999999992</v>
      </c>
      <c r="L47" s="26">
        <v>14.46</v>
      </c>
    </row>
    <row r="48" spans="1:12" ht="22.5" x14ac:dyDescent="0.2">
      <c r="A48" s="20">
        <v>291</v>
      </c>
      <c r="B48" s="21">
        <v>483</v>
      </c>
      <c r="C48" s="22" t="s">
        <v>80</v>
      </c>
      <c r="D48" s="23">
        <v>68623925</v>
      </c>
      <c r="E48" s="24" t="s">
        <v>81</v>
      </c>
      <c r="F48" s="25">
        <v>45930</v>
      </c>
      <c r="G48" s="24">
        <v>3088119</v>
      </c>
      <c r="H48" s="22" t="s">
        <v>104</v>
      </c>
      <c r="I48" s="24" t="s">
        <v>105</v>
      </c>
      <c r="J48" s="26">
        <v>47</v>
      </c>
      <c r="K48" s="26">
        <v>42.56</v>
      </c>
      <c r="L48" s="26">
        <v>4.4400000000000004</v>
      </c>
    </row>
    <row r="49" spans="1:12" ht="22.5" x14ac:dyDescent="0.2">
      <c r="A49" s="20">
        <v>292</v>
      </c>
      <c r="B49" s="21">
        <v>483</v>
      </c>
      <c r="C49" s="22" t="s">
        <v>70</v>
      </c>
      <c r="D49" s="23">
        <v>68824762</v>
      </c>
      <c r="E49" s="24" t="s">
        <v>71</v>
      </c>
      <c r="F49" s="25">
        <v>45957</v>
      </c>
      <c r="G49" s="24">
        <v>3073061</v>
      </c>
      <c r="H49" s="22" t="s">
        <v>42</v>
      </c>
      <c r="I49" s="24" t="s">
        <v>43</v>
      </c>
      <c r="J49" s="26">
        <v>22</v>
      </c>
      <c r="K49" s="26">
        <v>11.92</v>
      </c>
      <c r="L49" s="26">
        <v>10.08</v>
      </c>
    </row>
    <row r="50" spans="1:12" ht="22.5" x14ac:dyDescent="0.2">
      <c r="A50" s="20">
        <v>293</v>
      </c>
      <c r="B50" s="21">
        <v>483</v>
      </c>
      <c r="C50" s="22" t="s">
        <v>70</v>
      </c>
      <c r="D50" s="23">
        <v>68824762</v>
      </c>
      <c r="E50" s="24" t="s">
        <v>71</v>
      </c>
      <c r="F50" s="25">
        <v>45957</v>
      </c>
      <c r="G50" s="24">
        <v>3074085</v>
      </c>
      <c r="H50" s="22" t="s">
        <v>74</v>
      </c>
      <c r="I50" s="24" t="s">
        <v>75</v>
      </c>
      <c r="J50" s="26">
        <v>42</v>
      </c>
      <c r="K50" s="26">
        <v>33.54</v>
      </c>
      <c r="L50" s="26">
        <v>8.4600000000000009</v>
      </c>
    </row>
    <row r="51" spans="1:12" ht="22.5" x14ac:dyDescent="0.2">
      <c r="A51" s="20">
        <v>294</v>
      </c>
      <c r="B51" s="21">
        <v>483</v>
      </c>
      <c r="C51" s="22" t="s">
        <v>70</v>
      </c>
      <c r="D51" s="23">
        <v>68824762</v>
      </c>
      <c r="E51" s="24" t="s">
        <v>71</v>
      </c>
      <c r="F51" s="25">
        <v>45957</v>
      </c>
      <c r="G51" s="24">
        <v>3076544</v>
      </c>
      <c r="H51" s="22" t="s">
        <v>76</v>
      </c>
      <c r="I51" s="24" t="s">
        <v>77</v>
      </c>
      <c r="J51" s="26">
        <v>102</v>
      </c>
      <c r="K51" s="26">
        <v>95.67</v>
      </c>
      <c r="L51" s="26">
        <v>6.33</v>
      </c>
    </row>
    <row r="52" spans="1:12" ht="33.75" x14ac:dyDescent="0.2">
      <c r="A52" s="20">
        <v>295</v>
      </c>
      <c r="B52" s="21">
        <v>483</v>
      </c>
      <c r="C52" s="22" t="s">
        <v>106</v>
      </c>
      <c r="D52" s="23">
        <v>68823871</v>
      </c>
      <c r="E52" s="24" t="s">
        <v>107</v>
      </c>
      <c r="F52" s="25">
        <v>45957</v>
      </c>
      <c r="G52" s="24">
        <v>3062338</v>
      </c>
      <c r="H52" s="22" t="s">
        <v>82</v>
      </c>
      <c r="I52" s="24" t="s">
        <v>83</v>
      </c>
      <c r="J52" s="26">
        <v>116</v>
      </c>
      <c r="K52" s="26">
        <v>61.93</v>
      </c>
      <c r="L52" s="26">
        <v>54.07</v>
      </c>
    </row>
    <row r="53" spans="1:12" x14ac:dyDescent="0.2">
      <c r="A53" s="20">
        <v>296</v>
      </c>
      <c r="B53" s="21">
        <v>483</v>
      </c>
      <c r="C53" s="22" t="s">
        <v>106</v>
      </c>
      <c r="D53" s="23">
        <v>68823871</v>
      </c>
      <c r="E53" s="24" t="s">
        <v>107</v>
      </c>
      <c r="F53" s="25">
        <v>45957</v>
      </c>
      <c r="G53" s="24">
        <v>3062650</v>
      </c>
      <c r="H53" s="22" t="s">
        <v>84</v>
      </c>
      <c r="I53" s="24" t="s">
        <v>85</v>
      </c>
      <c r="J53" s="26">
        <v>20</v>
      </c>
      <c r="K53" s="26">
        <v>10.93</v>
      </c>
      <c r="L53" s="26">
        <v>9.07</v>
      </c>
    </row>
    <row r="54" spans="1:12" x14ac:dyDescent="0.2">
      <c r="A54" s="20">
        <v>297</v>
      </c>
      <c r="B54" s="21">
        <v>483</v>
      </c>
      <c r="C54" s="22" t="s">
        <v>106</v>
      </c>
      <c r="D54" s="23">
        <v>68823871</v>
      </c>
      <c r="E54" s="24" t="s">
        <v>107</v>
      </c>
      <c r="F54" s="25">
        <v>45957</v>
      </c>
      <c r="G54" s="24">
        <v>3063716</v>
      </c>
      <c r="H54" s="22" t="s">
        <v>86</v>
      </c>
      <c r="I54" s="24" t="s">
        <v>87</v>
      </c>
      <c r="J54" s="26">
        <v>58</v>
      </c>
      <c r="K54" s="26">
        <v>35.18</v>
      </c>
      <c r="L54" s="26">
        <v>22.82</v>
      </c>
    </row>
    <row r="55" spans="1:12" x14ac:dyDescent="0.2">
      <c r="A55" s="20">
        <v>298</v>
      </c>
      <c r="B55" s="21">
        <v>483</v>
      </c>
      <c r="C55" s="22" t="s">
        <v>106</v>
      </c>
      <c r="D55" s="23">
        <v>68823871</v>
      </c>
      <c r="E55" s="24" t="s">
        <v>107</v>
      </c>
      <c r="F55" s="25">
        <v>45957</v>
      </c>
      <c r="G55" s="24">
        <v>3074176</v>
      </c>
      <c r="H55" s="22" t="s">
        <v>44</v>
      </c>
      <c r="I55" s="24" t="s">
        <v>45</v>
      </c>
      <c r="J55" s="26">
        <v>70</v>
      </c>
      <c r="K55" s="26">
        <v>60.35</v>
      </c>
      <c r="L55" s="26">
        <v>9.65</v>
      </c>
    </row>
    <row r="56" spans="1:12" ht="33.75" x14ac:dyDescent="0.2">
      <c r="A56" s="20">
        <v>299</v>
      </c>
      <c r="B56" s="21">
        <v>483</v>
      </c>
      <c r="C56" s="22" t="s">
        <v>106</v>
      </c>
      <c r="D56" s="23">
        <v>68823871</v>
      </c>
      <c r="E56" s="24" t="s">
        <v>107</v>
      </c>
      <c r="F56" s="25">
        <v>45957</v>
      </c>
      <c r="G56" s="24">
        <v>3076486</v>
      </c>
      <c r="H56" s="22" t="s">
        <v>92</v>
      </c>
      <c r="I56" s="24" t="s">
        <v>93</v>
      </c>
      <c r="J56" s="26">
        <v>93</v>
      </c>
      <c r="K56" s="26">
        <v>69.48</v>
      </c>
      <c r="L56" s="26">
        <v>23.52</v>
      </c>
    </row>
    <row r="57" spans="1:12" x14ac:dyDescent="0.2">
      <c r="A57" s="20"/>
      <c r="B57" s="11"/>
      <c r="C57" s="27"/>
      <c r="D57" s="28"/>
      <c r="E57" s="11"/>
      <c r="F57" s="11"/>
      <c r="G57" s="11"/>
      <c r="H57" s="29"/>
      <c r="I57" s="29"/>
      <c r="J57" s="29"/>
      <c r="K57" s="12"/>
      <c r="L57" s="12"/>
    </row>
    <row r="58" spans="1:12" x14ac:dyDescent="0.2">
      <c r="B58" s="11"/>
      <c r="C58" s="27"/>
      <c r="D58" s="28"/>
      <c r="E58" s="14"/>
      <c r="F58" s="14"/>
      <c r="G58" s="14"/>
      <c r="H58" s="14"/>
      <c r="I58" s="29"/>
      <c r="J58" s="29"/>
      <c r="K58" s="12"/>
      <c r="L58" s="12"/>
    </row>
    <row r="59" spans="1:12" x14ac:dyDescent="0.2">
      <c r="B59" s="11"/>
      <c r="C59" s="27"/>
      <c r="D59" s="28"/>
      <c r="E59" s="11"/>
      <c r="F59" s="12"/>
      <c r="G59" s="12"/>
      <c r="H59" s="12"/>
      <c r="I59" s="29"/>
      <c r="J59" s="29"/>
      <c r="K59" s="12"/>
      <c r="L59" s="12"/>
    </row>
    <row r="60" spans="1:12" ht="13.5" thickBot="1" x14ac:dyDescent="0.25">
      <c r="B60" s="11"/>
      <c r="C60" s="27"/>
      <c r="D60" s="12" t="s">
        <v>46</v>
      </c>
      <c r="E60" s="30"/>
      <c r="F60" s="30"/>
      <c r="G60" s="30"/>
      <c r="H60" s="31"/>
      <c r="I60" s="12"/>
      <c r="J60" s="29"/>
      <c r="K60" s="12"/>
      <c r="L60" s="32">
        <v>505.9899999999999</v>
      </c>
    </row>
    <row r="61" spans="1:12" ht="13.5" thickTop="1" x14ac:dyDescent="0.2">
      <c r="B61" s="11"/>
      <c r="C61" s="27"/>
      <c r="D61" s="33"/>
      <c r="E61" s="30"/>
      <c r="F61" s="30"/>
      <c r="G61" s="30"/>
      <c r="H61" s="31"/>
      <c r="I61" s="12"/>
      <c r="J61" s="29"/>
      <c r="K61" s="12"/>
      <c r="L61" s="34"/>
    </row>
    <row r="65" spans="3:11" ht="59.65" customHeight="1" x14ac:dyDescent="0.25">
      <c r="C65"/>
      <c r="D65"/>
      <c r="E65"/>
      <c r="F65"/>
      <c r="G65"/>
      <c r="H65"/>
      <c r="I65"/>
      <c r="J65"/>
      <c r="K6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CB547B0C-FF74-4D9C-9F90-329D98ABAC7A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A30F-1599-4E6C-93A3-DCA4D66679B6}">
  <sheetPr>
    <tabColor rgb="FFFFFF00"/>
    <pageSetUpPr fitToPage="1"/>
  </sheetPr>
  <dimension ref="A1:O36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108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109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3</v>
      </c>
      <c r="B20" s="12" t="s">
        <v>21</v>
      </c>
      <c r="C20" s="13">
        <v>1322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4261370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x14ac:dyDescent="0.2">
      <c r="A25" s="20">
        <v>30</v>
      </c>
      <c r="B25" s="21">
        <v>483</v>
      </c>
      <c r="C25" s="22" t="s">
        <v>110</v>
      </c>
      <c r="D25" s="23">
        <v>68768423</v>
      </c>
      <c r="E25" s="24" t="s">
        <v>111</v>
      </c>
      <c r="F25" s="25">
        <v>45950</v>
      </c>
      <c r="G25" s="24">
        <v>3062650</v>
      </c>
      <c r="H25" s="22" t="s">
        <v>84</v>
      </c>
      <c r="I25" s="24" t="s">
        <v>85</v>
      </c>
      <c r="J25" s="26">
        <v>20</v>
      </c>
      <c r="K25" s="26">
        <v>10.93</v>
      </c>
      <c r="L25" s="26">
        <v>9.07</v>
      </c>
      <c r="N25" s="35"/>
      <c r="O25" s="35"/>
    </row>
    <row r="26" spans="1:15" ht="22.5" x14ac:dyDescent="0.2">
      <c r="A26" s="20">
        <v>31</v>
      </c>
      <c r="B26" s="21">
        <v>483</v>
      </c>
      <c r="C26" s="22" t="s">
        <v>110</v>
      </c>
      <c r="D26" s="23">
        <v>68768423</v>
      </c>
      <c r="E26" s="24" t="s">
        <v>111</v>
      </c>
      <c r="F26" s="25">
        <v>45950</v>
      </c>
      <c r="G26" s="24">
        <v>3073061</v>
      </c>
      <c r="H26" s="22" t="s">
        <v>42</v>
      </c>
      <c r="I26" s="24" t="s">
        <v>43</v>
      </c>
      <c r="J26" s="26">
        <v>22</v>
      </c>
      <c r="K26" s="26">
        <v>11.92</v>
      </c>
      <c r="L26" s="26">
        <v>10.08</v>
      </c>
      <c r="N26" s="35"/>
      <c r="O26" s="35"/>
    </row>
    <row r="27" spans="1:15" x14ac:dyDescent="0.2">
      <c r="A27" s="20">
        <v>32</v>
      </c>
      <c r="B27" s="21">
        <v>483</v>
      </c>
      <c r="C27" s="22" t="s">
        <v>110</v>
      </c>
      <c r="D27" s="23">
        <v>68768423</v>
      </c>
      <c r="E27" s="24" t="s">
        <v>111</v>
      </c>
      <c r="F27" s="25">
        <v>45950</v>
      </c>
      <c r="G27" s="24">
        <v>3074176</v>
      </c>
      <c r="H27" s="22" t="s">
        <v>44</v>
      </c>
      <c r="I27" s="24" t="s">
        <v>45</v>
      </c>
      <c r="J27" s="26">
        <v>70</v>
      </c>
      <c r="K27" s="26">
        <v>60.35</v>
      </c>
      <c r="L27" s="26">
        <v>9.65</v>
      </c>
      <c r="N27" s="35"/>
      <c r="O27" s="35"/>
    </row>
    <row r="28" spans="1:15" x14ac:dyDescent="0.2">
      <c r="B28" s="11"/>
      <c r="C28" s="27"/>
      <c r="D28" s="28"/>
      <c r="E28" s="11"/>
      <c r="F28" s="11"/>
      <c r="G28" s="11"/>
      <c r="H28" s="29"/>
      <c r="I28" s="29"/>
      <c r="J28" s="29"/>
      <c r="K28" s="34"/>
      <c r="L28" s="12"/>
    </row>
    <row r="29" spans="1:15" x14ac:dyDescent="0.2">
      <c r="B29" s="11"/>
      <c r="C29" s="27"/>
      <c r="D29" s="28"/>
      <c r="E29" s="14"/>
      <c r="F29" s="14"/>
      <c r="G29" s="14"/>
      <c r="H29" s="14"/>
      <c r="I29" s="29"/>
      <c r="J29" s="29"/>
      <c r="K29" s="12"/>
      <c r="L29" s="12"/>
    </row>
    <row r="30" spans="1:15" x14ac:dyDescent="0.2">
      <c r="B30" s="11"/>
      <c r="C30" s="27"/>
      <c r="D30" s="28"/>
      <c r="E30" s="11"/>
      <c r="F30" s="12"/>
      <c r="G30" s="12"/>
      <c r="H30" s="12"/>
      <c r="I30" s="29"/>
      <c r="J30" s="29"/>
      <c r="K30" s="12"/>
      <c r="L30" s="12"/>
    </row>
    <row r="31" spans="1:15" ht="13.5" thickBot="1" x14ac:dyDescent="0.25">
      <c r="B31" s="11"/>
      <c r="C31" s="27"/>
      <c r="D31" s="12" t="s">
        <v>46</v>
      </c>
      <c r="E31" s="30"/>
      <c r="F31" s="30"/>
      <c r="G31" s="30"/>
      <c r="H31" s="31"/>
      <c r="I31" s="12"/>
      <c r="J31" s="29"/>
      <c r="K31" s="12"/>
      <c r="L31" s="32">
        <v>28.799999999999997</v>
      </c>
    </row>
    <row r="32" spans="1:15" ht="13.5" thickTop="1" x14ac:dyDescent="0.2">
      <c r="B32" s="11"/>
      <c r="C32" s="27"/>
      <c r="D32" s="33"/>
      <c r="E32" s="30"/>
      <c r="F32" s="30"/>
      <c r="G32" s="30"/>
      <c r="H32" s="31"/>
      <c r="I32" s="12"/>
      <c r="J32" s="29"/>
      <c r="K32" s="12"/>
      <c r="L32" s="34"/>
    </row>
    <row r="36" spans="3:11" ht="59.65" customHeight="1" x14ac:dyDescent="0.25">
      <c r="C36"/>
      <c r="D36"/>
      <c r="E36"/>
      <c r="F36"/>
      <c r="G36"/>
      <c r="H36"/>
      <c r="I36"/>
      <c r="J36"/>
      <c r="K36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3B1440D2-6EA5-41FB-94F3-1A0AD960E996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61EB-103E-4D06-96BC-8BA4B1BF219F}">
  <sheetPr>
    <tabColor rgb="FFFFFF00"/>
    <pageSetUpPr fitToPage="1"/>
  </sheetPr>
  <dimension ref="A1:O36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112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113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3</v>
      </c>
      <c r="B20" s="12" t="s">
        <v>21</v>
      </c>
      <c r="C20" s="13">
        <v>2003443584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4253110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x14ac:dyDescent="0.2">
      <c r="A25" s="20">
        <v>328</v>
      </c>
      <c r="B25" s="21">
        <v>484</v>
      </c>
      <c r="C25" s="22" t="s">
        <v>114</v>
      </c>
      <c r="D25" s="23">
        <v>45949724</v>
      </c>
      <c r="E25" s="24" t="s">
        <v>115</v>
      </c>
      <c r="F25" s="25">
        <v>45944</v>
      </c>
      <c r="G25" s="24">
        <v>3522893</v>
      </c>
      <c r="H25" s="22" t="s">
        <v>63</v>
      </c>
      <c r="I25" s="24" t="s">
        <v>64</v>
      </c>
      <c r="J25" s="26">
        <v>2467</v>
      </c>
      <c r="K25" s="26">
        <v>1686.44</v>
      </c>
      <c r="L25" s="26">
        <v>780.56</v>
      </c>
      <c r="N25" s="35"/>
      <c r="O25" s="35"/>
    </row>
    <row r="26" spans="1:15" ht="22.5" x14ac:dyDescent="0.2">
      <c r="A26" s="20">
        <v>329</v>
      </c>
      <c r="B26" s="21">
        <v>484</v>
      </c>
      <c r="C26" s="22" t="s">
        <v>114</v>
      </c>
      <c r="D26" s="23">
        <v>45949724</v>
      </c>
      <c r="E26" s="24" t="s">
        <v>115</v>
      </c>
      <c r="F26" s="25">
        <v>45944</v>
      </c>
      <c r="G26" s="24">
        <v>3528965</v>
      </c>
      <c r="H26" s="22" t="s">
        <v>116</v>
      </c>
      <c r="I26" s="24" t="s">
        <v>117</v>
      </c>
      <c r="J26" s="26">
        <v>3299</v>
      </c>
      <c r="K26" s="26">
        <v>2255.1999999999998</v>
      </c>
      <c r="L26" s="26">
        <v>1043.8</v>
      </c>
      <c r="N26" s="35"/>
      <c r="O26" s="35"/>
    </row>
    <row r="27" spans="1:15" ht="22.5" x14ac:dyDescent="0.2">
      <c r="A27" s="20">
        <v>330</v>
      </c>
      <c r="B27" s="21">
        <v>484</v>
      </c>
      <c r="C27" s="22" t="s">
        <v>114</v>
      </c>
      <c r="D27" s="23">
        <v>45949724</v>
      </c>
      <c r="E27" s="24" t="s">
        <v>115</v>
      </c>
      <c r="F27" s="25">
        <v>45944</v>
      </c>
      <c r="G27" s="24">
        <v>6868046</v>
      </c>
      <c r="H27" s="22" t="s">
        <v>53</v>
      </c>
      <c r="I27" s="24" t="s">
        <v>54</v>
      </c>
      <c r="J27" s="26">
        <v>48</v>
      </c>
      <c r="K27" s="26">
        <v>32.81</v>
      </c>
      <c r="L27" s="26">
        <v>15.19</v>
      </c>
      <c r="N27" s="35"/>
      <c r="O27" s="35"/>
    </row>
    <row r="28" spans="1:15" x14ac:dyDescent="0.2">
      <c r="B28" s="11"/>
      <c r="C28" s="27"/>
      <c r="D28" s="28"/>
      <c r="E28" s="11"/>
      <c r="F28" s="11"/>
      <c r="G28" s="11"/>
      <c r="H28" s="29"/>
      <c r="I28" s="29"/>
      <c r="J28" s="29"/>
      <c r="K28" s="34"/>
      <c r="L28" s="12"/>
    </row>
    <row r="29" spans="1:15" x14ac:dyDescent="0.2">
      <c r="B29" s="11"/>
      <c r="C29" s="27"/>
      <c r="D29" s="28"/>
      <c r="E29" s="14"/>
      <c r="F29" s="14"/>
      <c r="G29" s="14"/>
      <c r="H29" s="14"/>
      <c r="I29" s="29"/>
      <c r="J29" s="29"/>
      <c r="K29" s="12"/>
      <c r="L29" s="12"/>
    </row>
    <row r="30" spans="1:15" x14ac:dyDescent="0.2">
      <c r="B30" s="11"/>
      <c r="C30" s="27"/>
      <c r="D30" s="28"/>
      <c r="E30" s="11"/>
      <c r="F30" s="12"/>
      <c r="G30" s="12"/>
      <c r="H30" s="12"/>
      <c r="I30" s="29"/>
      <c r="J30" s="29"/>
      <c r="K30" s="12"/>
      <c r="L30" s="12"/>
    </row>
    <row r="31" spans="1:15" ht="13.5" thickBot="1" x14ac:dyDescent="0.25">
      <c r="B31" s="11"/>
      <c r="C31" s="27"/>
      <c r="D31" s="12" t="s">
        <v>46</v>
      </c>
      <c r="E31" s="30"/>
      <c r="F31" s="30"/>
      <c r="G31" s="30"/>
      <c r="H31" s="31"/>
      <c r="I31" s="12"/>
      <c r="J31" s="29"/>
      <c r="K31" s="12"/>
      <c r="L31" s="32">
        <v>1839.55</v>
      </c>
    </row>
    <row r="32" spans="1:15" ht="13.5" thickTop="1" x14ac:dyDescent="0.2">
      <c r="B32" s="11"/>
      <c r="C32" s="27"/>
      <c r="D32" s="33"/>
      <c r="E32" s="30"/>
      <c r="F32" s="30"/>
      <c r="G32" s="30"/>
      <c r="H32" s="31"/>
      <c r="I32" s="12"/>
      <c r="J32" s="29"/>
      <c r="K32" s="12"/>
      <c r="L32" s="34"/>
    </row>
    <row r="36" spans="3:11" ht="59.65" customHeight="1" x14ac:dyDescent="0.25">
      <c r="C36"/>
      <c r="D36"/>
      <c r="E36"/>
      <c r="F36"/>
      <c r="G36"/>
      <c r="H36"/>
      <c r="I36"/>
      <c r="J36"/>
      <c r="K36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E3ADEAD1-17A6-4ACE-A218-11F3AA34FD5F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50F9-01D9-4DE6-8B6A-81B0A75B2870}">
  <sheetPr>
    <tabColor rgb="FFFFFF00"/>
    <pageSetUpPr fitToPage="1"/>
  </sheetPr>
  <dimension ref="A1:O58"/>
  <sheetViews>
    <sheetView topLeftCell="B40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118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119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25</v>
      </c>
      <c r="B20" s="12" t="s">
        <v>21</v>
      </c>
      <c r="C20" s="13">
        <v>5059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4278160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196</v>
      </c>
      <c r="B25" s="21">
        <v>483</v>
      </c>
      <c r="C25" s="22" t="s">
        <v>120</v>
      </c>
      <c r="D25" s="23">
        <v>68324037</v>
      </c>
      <c r="E25" s="24" t="s">
        <v>121</v>
      </c>
      <c r="F25" s="25">
        <v>45890</v>
      </c>
      <c r="G25" s="24">
        <v>3063641</v>
      </c>
      <c r="H25" s="22" t="s">
        <v>72</v>
      </c>
      <c r="I25" s="24" t="s">
        <v>73</v>
      </c>
      <c r="J25" s="26">
        <v>475</v>
      </c>
      <c r="K25" s="26">
        <v>460.22</v>
      </c>
      <c r="L25" s="26">
        <v>14.78</v>
      </c>
      <c r="N25" s="35"/>
      <c r="O25" s="35"/>
    </row>
    <row r="26" spans="1:15" ht="22.5" x14ac:dyDescent="0.2">
      <c r="A26" s="20">
        <v>197</v>
      </c>
      <c r="B26" s="21">
        <v>483</v>
      </c>
      <c r="C26" s="22" t="s">
        <v>120</v>
      </c>
      <c r="D26" s="23">
        <v>68324037</v>
      </c>
      <c r="E26" s="24" t="s">
        <v>121</v>
      </c>
      <c r="F26" s="25">
        <v>45897</v>
      </c>
      <c r="G26" s="24">
        <v>3063641</v>
      </c>
      <c r="H26" s="22" t="s">
        <v>72</v>
      </c>
      <c r="I26" s="24" t="s">
        <v>73</v>
      </c>
      <c r="J26" s="26">
        <v>475</v>
      </c>
      <c r="K26" s="26">
        <v>460.22</v>
      </c>
      <c r="L26" s="26">
        <v>14.78</v>
      </c>
      <c r="N26" s="35"/>
      <c r="O26" s="35"/>
    </row>
    <row r="27" spans="1:15" ht="22.5" x14ac:dyDescent="0.2">
      <c r="A27" s="20">
        <v>198</v>
      </c>
      <c r="B27" s="21">
        <v>483</v>
      </c>
      <c r="C27" s="22" t="s">
        <v>120</v>
      </c>
      <c r="D27" s="23">
        <v>68324037</v>
      </c>
      <c r="E27" s="24" t="s">
        <v>121</v>
      </c>
      <c r="F27" s="25">
        <v>45911</v>
      </c>
      <c r="G27" s="24">
        <v>3073061</v>
      </c>
      <c r="H27" s="22" t="s">
        <v>42</v>
      </c>
      <c r="I27" s="24" t="s">
        <v>43</v>
      </c>
      <c r="J27" s="26">
        <v>22</v>
      </c>
      <c r="K27" s="26">
        <v>11.92</v>
      </c>
      <c r="L27" s="26">
        <v>10.08</v>
      </c>
      <c r="N27" s="35"/>
      <c r="O27" s="35"/>
    </row>
    <row r="28" spans="1:15" x14ac:dyDescent="0.2">
      <c r="A28" s="20">
        <v>199</v>
      </c>
      <c r="B28" s="21">
        <v>483</v>
      </c>
      <c r="C28" s="22" t="s">
        <v>120</v>
      </c>
      <c r="D28" s="23">
        <v>68324037</v>
      </c>
      <c r="E28" s="24" t="s">
        <v>121</v>
      </c>
      <c r="F28" s="25">
        <v>45883</v>
      </c>
      <c r="G28" s="24">
        <v>3074085</v>
      </c>
      <c r="H28" s="22" t="s">
        <v>74</v>
      </c>
      <c r="I28" s="24" t="s">
        <v>75</v>
      </c>
      <c r="J28" s="26">
        <v>42</v>
      </c>
      <c r="K28" s="26">
        <v>33.54</v>
      </c>
      <c r="L28" s="26">
        <v>8.4600000000000009</v>
      </c>
      <c r="N28" s="35"/>
      <c r="O28" s="35"/>
    </row>
    <row r="29" spans="1:15" x14ac:dyDescent="0.2">
      <c r="A29" s="20">
        <v>200</v>
      </c>
      <c r="B29" s="21">
        <v>483</v>
      </c>
      <c r="C29" s="22" t="s">
        <v>120</v>
      </c>
      <c r="D29" s="23">
        <v>68324037</v>
      </c>
      <c r="E29" s="24" t="s">
        <v>121</v>
      </c>
      <c r="F29" s="25">
        <v>45890</v>
      </c>
      <c r="G29" s="24">
        <v>3074085</v>
      </c>
      <c r="H29" s="22" t="s">
        <v>74</v>
      </c>
      <c r="I29" s="24" t="s">
        <v>75</v>
      </c>
      <c r="J29" s="26">
        <v>42</v>
      </c>
      <c r="K29" s="26">
        <v>33.54</v>
      </c>
      <c r="L29" s="26">
        <v>8.4600000000000009</v>
      </c>
      <c r="N29" s="35"/>
      <c r="O29" s="35"/>
    </row>
    <row r="30" spans="1:15" x14ac:dyDescent="0.2">
      <c r="A30" s="20">
        <v>201</v>
      </c>
      <c r="B30" s="21">
        <v>483</v>
      </c>
      <c r="C30" s="22" t="s">
        <v>120</v>
      </c>
      <c r="D30" s="23">
        <v>68324037</v>
      </c>
      <c r="E30" s="24" t="s">
        <v>121</v>
      </c>
      <c r="F30" s="25">
        <v>45904</v>
      </c>
      <c r="G30" s="24">
        <v>3074085</v>
      </c>
      <c r="H30" s="22" t="s">
        <v>74</v>
      </c>
      <c r="I30" s="24" t="s">
        <v>75</v>
      </c>
      <c r="J30" s="26">
        <v>42</v>
      </c>
      <c r="K30" s="26">
        <v>33.54</v>
      </c>
      <c r="L30" s="26">
        <v>8.4600000000000009</v>
      </c>
      <c r="N30" s="35"/>
      <c r="O30" s="35"/>
    </row>
    <row r="31" spans="1:15" x14ac:dyDescent="0.2">
      <c r="A31" s="20">
        <v>202</v>
      </c>
      <c r="B31" s="21">
        <v>483</v>
      </c>
      <c r="C31" s="22" t="s">
        <v>120</v>
      </c>
      <c r="D31" s="23">
        <v>68324037</v>
      </c>
      <c r="E31" s="24" t="s">
        <v>121</v>
      </c>
      <c r="F31" s="25">
        <v>45911</v>
      </c>
      <c r="G31" s="24">
        <v>3074085</v>
      </c>
      <c r="H31" s="22" t="s">
        <v>74</v>
      </c>
      <c r="I31" s="24" t="s">
        <v>75</v>
      </c>
      <c r="J31" s="26">
        <v>42</v>
      </c>
      <c r="K31" s="26">
        <v>33.54</v>
      </c>
      <c r="L31" s="26">
        <v>8.4600000000000009</v>
      </c>
      <c r="N31" s="35"/>
      <c r="O31" s="35"/>
    </row>
    <row r="32" spans="1:15" x14ac:dyDescent="0.2">
      <c r="A32" s="20">
        <v>203</v>
      </c>
      <c r="B32" s="21">
        <v>483</v>
      </c>
      <c r="C32" s="22" t="s">
        <v>120</v>
      </c>
      <c r="D32" s="23">
        <v>68324037</v>
      </c>
      <c r="E32" s="24" t="s">
        <v>121</v>
      </c>
      <c r="F32" s="25">
        <v>45883</v>
      </c>
      <c r="G32" s="24">
        <v>3074283</v>
      </c>
      <c r="H32" s="22" t="s">
        <v>122</v>
      </c>
      <c r="I32" s="24" t="s">
        <v>123</v>
      </c>
      <c r="J32" s="26">
        <v>91</v>
      </c>
      <c r="K32" s="26">
        <v>81.62</v>
      </c>
      <c r="L32" s="26">
        <v>9.3800000000000008</v>
      </c>
      <c r="N32" s="35"/>
      <c r="O32" s="35"/>
    </row>
    <row r="33" spans="1:15" x14ac:dyDescent="0.2">
      <c r="A33" s="20">
        <v>204</v>
      </c>
      <c r="B33" s="21">
        <v>483</v>
      </c>
      <c r="C33" s="22" t="s">
        <v>120</v>
      </c>
      <c r="D33" s="23">
        <v>68324037</v>
      </c>
      <c r="E33" s="24" t="s">
        <v>121</v>
      </c>
      <c r="F33" s="25">
        <v>45890</v>
      </c>
      <c r="G33" s="24">
        <v>3074283</v>
      </c>
      <c r="H33" s="22" t="s">
        <v>122</v>
      </c>
      <c r="I33" s="24" t="s">
        <v>123</v>
      </c>
      <c r="J33" s="26">
        <v>91</v>
      </c>
      <c r="K33" s="26">
        <v>81.62</v>
      </c>
      <c r="L33" s="26">
        <v>9.3800000000000008</v>
      </c>
      <c r="N33" s="35"/>
      <c r="O33" s="35"/>
    </row>
    <row r="34" spans="1:15" x14ac:dyDescent="0.2">
      <c r="A34" s="20">
        <v>205</v>
      </c>
      <c r="B34" s="21">
        <v>483</v>
      </c>
      <c r="C34" s="22" t="s">
        <v>120</v>
      </c>
      <c r="D34" s="23">
        <v>68324037</v>
      </c>
      <c r="E34" s="24" t="s">
        <v>121</v>
      </c>
      <c r="F34" s="25">
        <v>45904</v>
      </c>
      <c r="G34" s="24">
        <v>3074283</v>
      </c>
      <c r="H34" s="22" t="s">
        <v>122</v>
      </c>
      <c r="I34" s="24" t="s">
        <v>123</v>
      </c>
      <c r="J34" s="26">
        <v>91</v>
      </c>
      <c r="K34" s="26">
        <v>81.62</v>
      </c>
      <c r="L34" s="26">
        <v>9.3800000000000008</v>
      </c>
      <c r="N34" s="35"/>
      <c r="O34" s="35"/>
    </row>
    <row r="35" spans="1:15" x14ac:dyDescent="0.2">
      <c r="A35" s="20">
        <v>206</v>
      </c>
      <c r="B35" s="21">
        <v>483</v>
      </c>
      <c r="C35" s="22" t="s">
        <v>120</v>
      </c>
      <c r="D35" s="23">
        <v>68324037</v>
      </c>
      <c r="E35" s="24" t="s">
        <v>121</v>
      </c>
      <c r="F35" s="25">
        <v>45911</v>
      </c>
      <c r="G35" s="24">
        <v>3074283</v>
      </c>
      <c r="H35" s="22" t="s">
        <v>122</v>
      </c>
      <c r="I35" s="24" t="s">
        <v>123</v>
      </c>
      <c r="J35" s="26">
        <v>91</v>
      </c>
      <c r="K35" s="26">
        <v>81.62</v>
      </c>
      <c r="L35" s="26">
        <v>9.3800000000000008</v>
      </c>
      <c r="N35" s="35"/>
      <c r="O35" s="35"/>
    </row>
    <row r="36" spans="1:15" ht="22.5" x14ac:dyDescent="0.2">
      <c r="A36" s="20">
        <v>207</v>
      </c>
      <c r="B36" s="21">
        <v>483</v>
      </c>
      <c r="C36" s="22" t="s">
        <v>120</v>
      </c>
      <c r="D36" s="23">
        <v>68324037</v>
      </c>
      <c r="E36" s="24" t="s">
        <v>121</v>
      </c>
      <c r="F36" s="25">
        <v>45890</v>
      </c>
      <c r="G36" s="24">
        <v>3075298</v>
      </c>
      <c r="H36" s="22" t="s">
        <v>124</v>
      </c>
      <c r="I36" s="24" t="s">
        <v>125</v>
      </c>
      <c r="J36" s="26">
        <v>39</v>
      </c>
      <c r="K36" s="26">
        <v>32.36</v>
      </c>
      <c r="L36" s="26">
        <v>6.64</v>
      </c>
      <c r="N36" s="35"/>
      <c r="O36" s="35"/>
    </row>
    <row r="37" spans="1:15" ht="22.5" x14ac:dyDescent="0.2">
      <c r="A37" s="20">
        <v>208</v>
      </c>
      <c r="B37" s="21">
        <v>483</v>
      </c>
      <c r="C37" s="22" t="s">
        <v>120</v>
      </c>
      <c r="D37" s="23">
        <v>68324037</v>
      </c>
      <c r="E37" s="24" t="s">
        <v>121</v>
      </c>
      <c r="F37" s="25">
        <v>45897</v>
      </c>
      <c r="G37" s="24">
        <v>3075298</v>
      </c>
      <c r="H37" s="22" t="s">
        <v>124</v>
      </c>
      <c r="I37" s="24" t="s">
        <v>125</v>
      </c>
      <c r="J37" s="26">
        <v>39</v>
      </c>
      <c r="K37" s="26">
        <v>32.36</v>
      </c>
      <c r="L37" s="26">
        <v>6.64</v>
      </c>
      <c r="N37" s="35"/>
      <c r="O37" s="35"/>
    </row>
    <row r="38" spans="1:15" ht="33.75" x14ac:dyDescent="0.2">
      <c r="A38" s="20">
        <v>209</v>
      </c>
      <c r="B38" s="21">
        <v>483</v>
      </c>
      <c r="C38" s="22" t="s">
        <v>120</v>
      </c>
      <c r="D38" s="23">
        <v>68324037</v>
      </c>
      <c r="E38" s="24" t="s">
        <v>121</v>
      </c>
      <c r="F38" s="25">
        <v>45897</v>
      </c>
      <c r="G38" s="24">
        <v>3076486</v>
      </c>
      <c r="H38" s="22" t="s">
        <v>92</v>
      </c>
      <c r="I38" s="24" t="s">
        <v>93</v>
      </c>
      <c r="J38" s="26">
        <v>93</v>
      </c>
      <c r="K38" s="26">
        <v>69.48</v>
      </c>
      <c r="L38" s="26">
        <v>23.52</v>
      </c>
      <c r="N38" s="35"/>
      <c r="O38" s="35"/>
    </row>
    <row r="39" spans="1:15" ht="22.5" x14ac:dyDescent="0.2">
      <c r="A39" s="20">
        <v>210</v>
      </c>
      <c r="B39" s="21">
        <v>483</v>
      </c>
      <c r="C39" s="22" t="s">
        <v>120</v>
      </c>
      <c r="D39" s="23">
        <v>68324037</v>
      </c>
      <c r="E39" s="24" t="s">
        <v>121</v>
      </c>
      <c r="F39" s="25">
        <v>45890</v>
      </c>
      <c r="G39" s="24">
        <v>3079688</v>
      </c>
      <c r="H39" s="22" t="s">
        <v>78</v>
      </c>
      <c r="I39" s="24" t="s">
        <v>79</v>
      </c>
      <c r="J39" s="26">
        <v>81</v>
      </c>
      <c r="K39" s="26">
        <v>70.12</v>
      </c>
      <c r="L39" s="26">
        <v>10.88</v>
      </c>
      <c r="N39" s="35"/>
      <c r="O39" s="35"/>
    </row>
    <row r="40" spans="1:15" ht="22.5" x14ac:dyDescent="0.2">
      <c r="A40" s="20">
        <v>211</v>
      </c>
      <c r="B40" s="21">
        <v>483</v>
      </c>
      <c r="C40" s="22" t="s">
        <v>120</v>
      </c>
      <c r="D40" s="23">
        <v>68324037</v>
      </c>
      <c r="E40" s="24" t="s">
        <v>121</v>
      </c>
      <c r="F40" s="25">
        <v>45897</v>
      </c>
      <c r="G40" s="24">
        <v>3079688</v>
      </c>
      <c r="H40" s="22" t="s">
        <v>78</v>
      </c>
      <c r="I40" s="24" t="s">
        <v>79</v>
      </c>
      <c r="J40" s="26">
        <v>81</v>
      </c>
      <c r="K40" s="26">
        <v>70.12</v>
      </c>
      <c r="L40" s="26">
        <v>10.88</v>
      </c>
      <c r="N40" s="35"/>
      <c r="O40" s="35"/>
    </row>
    <row r="41" spans="1:15" ht="22.5" x14ac:dyDescent="0.2">
      <c r="A41" s="20">
        <v>212</v>
      </c>
      <c r="B41" s="21">
        <v>483</v>
      </c>
      <c r="C41" s="22" t="s">
        <v>120</v>
      </c>
      <c r="D41" s="23">
        <v>68324037</v>
      </c>
      <c r="E41" s="24" t="s">
        <v>121</v>
      </c>
      <c r="F41" s="25">
        <v>45890</v>
      </c>
      <c r="G41" s="24">
        <v>3088127</v>
      </c>
      <c r="H41" s="22" t="s">
        <v>126</v>
      </c>
      <c r="I41" s="24" t="s">
        <v>127</v>
      </c>
      <c r="J41" s="26">
        <v>23</v>
      </c>
      <c r="K41" s="26">
        <v>19.850000000000001</v>
      </c>
      <c r="L41" s="26">
        <v>3.15</v>
      </c>
      <c r="N41" s="35"/>
      <c r="O41" s="35"/>
    </row>
    <row r="42" spans="1:15" ht="22.5" x14ac:dyDescent="0.2">
      <c r="A42" s="20">
        <v>213</v>
      </c>
      <c r="B42" s="21">
        <v>483</v>
      </c>
      <c r="C42" s="22" t="s">
        <v>120</v>
      </c>
      <c r="D42" s="23">
        <v>68324037</v>
      </c>
      <c r="E42" s="24" t="s">
        <v>121</v>
      </c>
      <c r="F42" s="25">
        <v>45904</v>
      </c>
      <c r="G42" s="24">
        <v>3088127</v>
      </c>
      <c r="H42" s="22" t="s">
        <v>126</v>
      </c>
      <c r="I42" s="24" t="s">
        <v>127</v>
      </c>
      <c r="J42" s="26">
        <v>23</v>
      </c>
      <c r="K42" s="26">
        <v>19.850000000000001</v>
      </c>
      <c r="L42" s="26">
        <v>3.15</v>
      </c>
      <c r="N42" s="35"/>
      <c r="O42" s="35"/>
    </row>
    <row r="43" spans="1:15" ht="22.5" x14ac:dyDescent="0.2">
      <c r="A43" s="20">
        <v>214</v>
      </c>
      <c r="B43" s="21">
        <v>483</v>
      </c>
      <c r="C43" s="22" t="s">
        <v>120</v>
      </c>
      <c r="D43" s="23">
        <v>68536010</v>
      </c>
      <c r="E43" s="24" t="s">
        <v>121</v>
      </c>
      <c r="F43" s="25">
        <v>45932</v>
      </c>
      <c r="G43" s="24">
        <v>3063641</v>
      </c>
      <c r="H43" s="22" t="s">
        <v>72</v>
      </c>
      <c r="I43" s="24" t="s">
        <v>73</v>
      </c>
      <c r="J43" s="26">
        <v>475</v>
      </c>
      <c r="K43" s="26">
        <v>460.22</v>
      </c>
      <c r="L43" s="26">
        <v>14.78</v>
      </c>
      <c r="N43" s="35"/>
      <c r="O43" s="35"/>
    </row>
    <row r="44" spans="1:15" x14ac:dyDescent="0.2">
      <c r="A44" s="20">
        <v>215</v>
      </c>
      <c r="B44" s="21">
        <v>483</v>
      </c>
      <c r="C44" s="22" t="s">
        <v>120</v>
      </c>
      <c r="D44" s="23">
        <v>68536010</v>
      </c>
      <c r="E44" s="24" t="s">
        <v>121</v>
      </c>
      <c r="F44" s="25">
        <v>45932</v>
      </c>
      <c r="G44" s="24">
        <v>3074085</v>
      </c>
      <c r="H44" s="22" t="s">
        <v>74</v>
      </c>
      <c r="I44" s="24" t="s">
        <v>75</v>
      </c>
      <c r="J44" s="26">
        <v>42</v>
      </c>
      <c r="K44" s="26">
        <v>33.54</v>
      </c>
      <c r="L44" s="26">
        <v>8.4600000000000009</v>
      </c>
      <c r="N44" s="35"/>
      <c r="O44" s="35"/>
    </row>
    <row r="45" spans="1:15" x14ac:dyDescent="0.2">
      <c r="A45" s="20">
        <v>216</v>
      </c>
      <c r="B45" s="21">
        <v>483</v>
      </c>
      <c r="C45" s="22" t="s">
        <v>120</v>
      </c>
      <c r="D45" s="23">
        <v>68536010</v>
      </c>
      <c r="E45" s="24" t="s">
        <v>121</v>
      </c>
      <c r="F45" s="25">
        <v>45932</v>
      </c>
      <c r="G45" s="24">
        <v>3074283</v>
      </c>
      <c r="H45" s="22" t="s">
        <v>122</v>
      </c>
      <c r="I45" s="24" t="s">
        <v>123</v>
      </c>
      <c r="J45" s="26">
        <v>91</v>
      </c>
      <c r="K45" s="26">
        <v>81.62</v>
      </c>
      <c r="L45" s="26">
        <v>9.3800000000000008</v>
      </c>
      <c r="N45" s="35"/>
      <c r="O45" s="35"/>
    </row>
    <row r="46" spans="1:15" ht="22.5" x14ac:dyDescent="0.2">
      <c r="A46" s="20">
        <v>217</v>
      </c>
      <c r="B46" s="21">
        <v>483</v>
      </c>
      <c r="C46" s="22" t="s">
        <v>120</v>
      </c>
      <c r="D46" s="23">
        <v>68536010</v>
      </c>
      <c r="E46" s="24" t="s">
        <v>121</v>
      </c>
      <c r="F46" s="25">
        <v>45932</v>
      </c>
      <c r="G46" s="24">
        <v>3075298</v>
      </c>
      <c r="H46" s="22" t="s">
        <v>124</v>
      </c>
      <c r="I46" s="24" t="s">
        <v>125</v>
      </c>
      <c r="J46" s="26">
        <v>39</v>
      </c>
      <c r="K46" s="26">
        <v>32.36</v>
      </c>
      <c r="L46" s="26">
        <v>6.64</v>
      </c>
      <c r="N46" s="35"/>
      <c r="O46" s="35"/>
    </row>
    <row r="47" spans="1:15" x14ac:dyDescent="0.2">
      <c r="A47" s="20">
        <v>218</v>
      </c>
      <c r="B47" s="21">
        <v>483</v>
      </c>
      <c r="C47" s="22" t="s">
        <v>120</v>
      </c>
      <c r="D47" s="23">
        <v>68536010</v>
      </c>
      <c r="E47" s="24" t="s">
        <v>121</v>
      </c>
      <c r="F47" s="25">
        <v>45932</v>
      </c>
      <c r="G47" s="24">
        <v>3077559</v>
      </c>
      <c r="H47" s="22" t="s">
        <v>128</v>
      </c>
      <c r="I47" s="24" t="s">
        <v>129</v>
      </c>
      <c r="J47" s="26">
        <v>82</v>
      </c>
      <c r="K47" s="26">
        <v>74.75</v>
      </c>
      <c r="L47" s="26">
        <v>7.25</v>
      </c>
      <c r="N47" s="35"/>
      <c r="O47" s="35"/>
    </row>
    <row r="48" spans="1:15" ht="22.5" x14ac:dyDescent="0.2">
      <c r="A48" s="20">
        <v>219</v>
      </c>
      <c r="B48" s="21">
        <v>483</v>
      </c>
      <c r="C48" s="22" t="s">
        <v>120</v>
      </c>
      <c r="D48" s="23">
        <v>68536010</v>
      </c>
      <c r="E48" s="24" t="s">
        <v>121</v>
      </c>
      <c r="F48" s="25">
        <v>45932</v>
      </c>
      <c r="G48" s="24">
        <v>3079688</v>
      </c>
      <c r="H48" s="22" t="s">
        <v>78</v>
      </c>
      <c r="I48" s="24" t="s">
        <v>79</v>
      </c>
      <c r="J48" s="26">
        <v>81</v>
      </c>
      <c r="K48" s="26">
        <v>70.12</v>
      </c>
      <c r="L48" s="26">
        <v>10.88</v>
      </c>
      <c r="N48" s="35"/>
      <c r="O48" s="35"/>
    </row>
    <row r="49" spans="1:15" ht="22.5" x14ac:dyDescent="0.2">
      <c r="A49" s="20">
        <v>220</v>
      </c>
      <c r="B49" s="21">
        <v>483</v>
      </c>
      <c r="C49" s="22" t="s">
        <v>120</v>
      </c>
      <c r="D49" s="23">
        <v>68536010</v>
      </c>
      <c r="E49" s="24" t="s">
        <v>121</v>
      </c>
      <c r="F49" s="25">
        <v>45932</v>
      </c>
      <c r="G49" s="24">
        <v>3088127</v>
      </c>
      <c r="H49" s="22" t="s">
        <v>126</v>
      </c>
      <c r="I49" s="24" t="s">
        <v>127</v>
      </c>
      <c r="J49" s="26">
        <v>23</v>
      </c>
      <c r="K49" s="26">
        <v>19.850000000000001</v>
      </c>
      <c r="L49" s="26">
        <v>3.15</v>
      </c>
      <c r="N49" s="35"/>
      <c r="O49" s="35"/>
    </row>
    <row r="50" spans="1:15" x14ac:dyDescent="0.2">
      <c r="B50" s="11"/>
      <c r="C50" s="27"/>
      <c r="D50" s="28"/>
      <c r="E50" s="11"/>
      <c r="F50" s="11"/>
      <c r="G50" s="11"/>
      <c r="H50" s="29"/>
      <c r="I50" s="29"/>
      <c r="J50" s="29"/>
      <c r="K50" s="34"/>
      <c r="L50" s="12"/>
    </row>
    <row r="51" spans="1:15" x14ac:dyDescent="0.2">
      <c r="B51" s="11"/>
      <c r="C51" s="27"/>
      <c r="D51" s="28"/>
      <c r="E51" s="14"/>
      <c r="F51" s="14"/>
      <c r="G51" s="14"/>
      <c r="H51" s="14"/>
      <c r="I51" s="29"/>
      <c r="J51" s="29"/>
      <c r="K51" s="12"/>
      <c r="L51" s="12"/>
    </row>
    <row r="52" spans="1:15" x14ac:dyDescent="0.2">
      <c r="B52" s="11"/>
      <c r="C52" s="27"/>
      <c r="D52" s="28"/>
      <c r="E52" s="11"/>
      <c r="F52" s="12"/>
      <c r="G52" s="12"/>
      <c r="H52" s="12"/>
      <c r="I52" s="29"/>
      <c r="J52" s="29"/>
      <c r="K52" s="12"/>
      <c r="L52" s="12"/>
    </row>
    <row r="53" spans="1:15" ht="13.5" thickBot="1" x14ac:dyDescent="0.25">
      <c r="B53" s="11"/>
      <c r="C53" s="27"/>
      <c r="D53" s="12" t="s">
        <v>46</v>
      </c>
      <c r="E53" s="30"/>
      <c r="F53" s="30"/>
      <c r="G53" s="30"/>
      <c r="H53" s="31"/>
      <c r="I53" s="12"/>
      <c r="J53" s="29"/>
      <c r="K53" s="12"/>
      <c r="L53" s="32">
        <v>236.4</v>
      </c>
    </row>
    <row r="54" spans="1:15" ht="13.5" thickTop="1" x14ac:dyDescent="0.2">
      <c r="B54" s="11"/>
      <c r="C54" s="27"/>
      <c r="D54" s="33"/>
      <c r="E54" s="30"/>
      <c r="F54" s="30"/>
      <c r="G54" s="30"/>
      <c r="H54" s="31"/>
      <c r="I54" s="12"/>
      <c r="J54" s="29"/>
      <c r="K54" s="12"/>
      <c r="L54" s="34"/>
    </row>
    <row r="58" spans="1:15" ht="59.65" customHeight="1" x14ac:dyDescent="0.25">
      <c r="C58"/>
      <c r="D58"/>
      <c r="E58"/>
      <c r="F58"/>
      <c r="G58"/>
      <c r="H58"/>
      <c r="I58"/>
      <c r="J58"/>
      <c r="K58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D37D3F9C-6881-4973-AEEB-6AA5CD753B3D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0FE7-6154-49D2-84FF-328855C6091B}">
  <sheetPr>
    <tabColor rgb="FFFFFF00"/>
    <pageSetUpPr fitToPage="1"/>
  </sheetPr>
  <dimension ref="A1:O69"/>
  <sheetViews>
    <sheetView topLeftCell="B49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130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131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36</v>
      </c>
      <c r="B20" s="12" t="s">
        <v>21</v>
      </c>
      <c r="C20" s="13">
        <v>5480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4279290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223</v>
      </c>
      <c r="B25" s="21">
        <v>483</v>
      </c>
      <c r="C25" s="22" t="s">
        <v>132</v>
      </c>
      <c r="D25" s="23">
        <v>68678069</v>
      </c>
      <c r="E25" s="24" t="s">
        <v>133</v>
      </c>
      <c r="F25" s="25">
        <v>45947</v>
      </c>
      <c r="G25" s="24">
        <v>7141252</v>
      </c>
      <c r="H25" s="22" t="s">
        <v>134</v>
      </c>
      <c r="I25" s="24" t="s">
        <v>135</v>
      </c>
      <c r="J25" s="26">
        <v>375</v>
      </c>
      <c r="K25" s="26">
        <v>247.95</v>
      </c>
      <c r="L25" s="26">
        <v>127.05</v>
      </c>
      <c r="N25" s="35"/>
      <c r="O25" s="35"/>
    </row>
    <row r="26" spans="1:15" ht="22.5" x14ac:dyDescent="0.2">
      <c r="A26" s="20">
        <v>224</v>
      </c>
      <c r="B26" s="21">
        <v>483</v>
      </c>
      <c r="C26" s="22" t="s">
        <v>132</v>
      </c>
      <c r="D26" s="23">
        <v>68678069</v>
      </c>
      <c r="E26" s="24" t="s">
        <v>133</v>
      </c>
      <c r="F26" s="25">
        <v>45947</v>
      </c>
      <c r="G26" s="24">
        <v>7141260</v>
      </c>
      <c r="H26" s="22" t="s">
        <v>134</v>
      </c>
      <c r="I26" s="24" t="s">
        <v>136</v>
      </c>
      <c r="J26" s="26">
        <v>588</v>
      </c>
      <c r="K26" s="26">
        <v>388.78999999999996</v>
      </c>
      <c r="L26" s="26">
        <v>199.21</v>
      </c>
      <c r="N26" s="35"/>
      <c r="O26" s="35"/>
    </row>
    <row r="27" spans="1:15" ht="22.5" x14ac:dyDescent="0.2">
      <c r="A27" s="20">
        <v>225</v>
      </c>
      <c r="B27" s="21">
        <v>483</v>
      </c>
      <c r="C27" s="22" t="s">
        <v>132</v>
      </c>
      <c r="D27" s="23">
        <v>68678069</v>
      </c>
      <c r="E27" s="24" t="s">
        <v>133</v>
      </c>
      <c r="F27" s="25">
        <v>45947</v>
      </c>
      <c r="G27" s="24">
        <v>7502842</v>
      </c>
      <c r="H27" s="22" t="s">
        <v>134</v>
      </c>
      <c r="I27" s="24" t="s">
        <v>137</v>
      </c>
      <c r="J27" s="26">
        <v>1810</v>
      </c>
      <c r="K27" s="26">
        <v>1196.77</v>
      </c>
      <c r="L27" s="26">
        <v>613.23</v>
      </c>
      <c r="N27" s="35"/>
      <c r="O27" s="35"/>
    </row>
    <row r="28" spans="1:15" ht="22.5" x14ac:dyDescent="0.2">
      <c r="A28" s="20">
        <v>226</v>
      </c>
      <c r="B28" s="21">
        <v>483</v>
      </c>
      <c r="C28" s="22" t="s">
        <v>132</v>
      </c>
      <c r="D28" s="23">
        <v>68678069</v>
      </c>
      <c r="E28" s="24" t="s">
        <v>133</v>
      </c>
      <c r="F28" s="25">
        <v>45947</v>
      </c>
      <c r="G28" s="24">
        <v>7503030</v>
      </c>
      <c r="H28" s="22" t="s">
        <v>134</v>
      </c>
      <c r="I28" s="24" t="s">
        <v>138</v>
      </c>
      <c r="J28" s="26">
        <v>480</v>
      </c>
      <c r="K28" s="26">
        <v>317.37</v>
      </c>
      <c r="L28" s="26">
        <v>162.63</v>
      </c>
      <c r="N28" s="35"/>
      <c r="O28" s="35"/>
    </row>
    <row r="29" spans="1:15" x14ac:dyDescent="0.2">
      <c r="A29" s="20">
        <v>227</v>
      </c>
      <c r="B29" s="21">
        <v>483</v>
      </c>
      <c r="C29" s="22" t="s">
        <v>132</v>
      </c>
      <c r="D29" s="23">
        <v>68726520</v>
      </c>
      <c r="E29" s="24" t="s">
        <v>133</v>
      </c>
      <c r="F29" s="25">
        <v>45944</v>
      </c>
      <c r="G29" s="24">
        <v>3062650</v>
      </c>
      <c r="H29" s="22" t="s">
        <v>84</v>
      </c>
      <c r="I29" s="24" t="s">
        <v>85</v>
      </c>
      <c r="J29" s="26">
        <v>20</v>
      </c>
      <c r="K29" s="26">
        <v>10.93</v>
      </c>
      <c r="L29" s="26">
        <v>9.07</v>
      </c>
      <c r="N29" s="35"/>
      <c r="O29" s="35"/>
    </row>
    <row r="30" spans="1:15" x14ac:dyDescent="0.2">
      <c r="A30" s="20">
        <v>228</v>
      </c>
      <c r="B30" s="21">
        <v>483</v>
      </c>
      <c r="C30" s="22" t="s">
        <v>132</v>
      </c>
      <c r="D30" s="23">
        <v>68726520</v>
      </c>
      <c r="E30" s="24" t="s">
        <v>133</v>
      </c>
      <c r="F30" s="25">
        <v>45959</v>
      </c>
      <c r="G30" s="24">
        <v>3062650</v>
      </c>
      <c r="H30" s="22" t="s">
        <v>84</v>
      </c>
      <c r="I30" s="24" t="s">
        <v>85</v>
      </c>
      <c r="J30" s="26">
        <v>20</v>
      </c>
      <c r="K30" s="26">
        <v>10.93</v>
      </c>
      <c r="L30" s="26">
        <v>9.07</v>
      </c>
      <c r="N30" s="35"/>
      <c r="O30" s="35"/>
    </row>
    <row r="31" spans="1:15" ht="22.5" x14ac:dyDescent="0.2">
      <c r="A31" s="20">
        <v>229</v>
      </c>
      <c r="B31" s="21">
        <v>483</v>
      </c>
      <c r="C31" s="22" t="s">
        <v>132</v>
      </c>
      <c r="D31" s="23">
        <v>68726520</v>
      </c>
      <c r="E31" s="24" t="s">
        <v>133</v>
      </c>
      <c r="F31" s="25">
        <v>45938</v>
      </c>
      <c r="G31" s="24">
        <v>3063641</v>
      </c>
      <c r="H31" s="22" t="s">
        <v>72</v>
      </c>
      <c r="I31" s="24" t="s">
        <v>73</v>
      </c>
      <c r="J31" s="26">
        <v>475</v>
      </c>
      <c r="K31" s="26">
        <v>460.22</v>
      </c>
      <c r="L31" s="26">
        <v>14.78</v>
      </c>
      <c r="N31" s="35"/>
      <c r="O31" s="35"/>
    </row>
    <row r="32" spans="1:15" x14ac:dyDescent="0.2">
      <c r="A32" s="20">
        <v>230</v>
      </c>
      <c r="B32" s="21">
        <v>483</v>
      </c>
      <c r="C32" s="22" t="s">
        <v>132</v>
      </c>
      <c r="D32" s="23">
        <v>68726520</v>
      </c>
      <c r="E32" s="24" t="s">
        <v>133</v>
      </c>
      <c r="F32" s="25">
        <v>45944</v>
      </c>
      <c r="G32" s="24">
        <v>3074085</v>
      </c>
      <c r="H32" s="22" t="s">
        <v>74</v>
      </c>
      <c r="I32" s="24" t="s">
        <v>75</v>
      </c>
      <c r="J32" s="26">
        <v>42</v>
      </c>
      <c r="K32" s="26">
        <v>33.54</v>
      </c>
      <c r="L32" s="26">
        <v>8.4600000000000009</v>
      </c>
      <c r="N32" s="35"/>
      <c r="O32" s="35"/>
    </row>
    <row r="33" spans="1:15" x14ac:dyDescent="0.2">
      <c r="A33" s="20">
        <v>231</v>
      </c>
      <c r="B33" s="21">
        <v>483</v>
      </c>
      <c r="C33" s="22" t="s">
        <v>132</v>
      </c>
      <c r="D33" s="23">
        <v>68726520</v>
      </c>
      <c r="E33" s="24" t="s">
        <v>133</v>
      </c>
      <c r="F33" s="25">
        <v>45959</v>
      </c>
      <c r="G33" s="24">
        <v>3074085</v>
      </c>
      <c r="H33" s="22" t="s">
        <v>74</v>
      </c>
      <c r="I33" s="24" t="s">
        <v>75</v>
      </c>
      <c r="J33" s="26">
        <v>42</v>
      </c>
      <c r="K33" s="26">
        <v>33.54</v>
      </c>
      <c r="L33" s="26">
        <v>8.4600000000000009</v>
      </c>
      <c r="N33" s="35"/>
      <c r="O33" s="35"/>
    </row>
    <row r="34" spans="1:15" x14ac:dyDescent="0.2">
      <c r="A34" s="20">
        <v>232</v>
      </c>
      <c r="B34" s="21">
        <v>483</v>
      </c>
      <c r="C34" s="22" t="s">
        <v>132</v>
      </c>
      <c r="D34" s="23">
        <v>68726520</v>
      </c>
      <c r="E34" s="24" t="s">
        <v>133</v>
      </c>
      <c r="F34" s="25">
        <v>45944</v>
      </c>
      <c r="G34" s="24">
        <v>3074176</v>
      </c>
      <c r="H34" s="22" t="s">
        <v>44</v>
      </c>
      <c r="I34" s="24" t="s">
        <v>45</v>
      </c>
      <c r="J34" s="26">
        <v>70</v>
      </c>
      <c r="K34" s="26">
        <v>60.35</v>
      </c>
      <c r="L34" s="26">
        <v>9.65</v>
      </c>
      <c r="N34" s="35"/>
      <c r="O34" s="35"/>
    </row>
    <row r="35" spans="1:15" x14ac:dyDescent="0.2">
      <c r="A35" s="20">
        <v>233</v>
      </c>
      <c r="B35" s="21">
        <v>483</v>
      </c>
      <c r="C35" s="22" t="s">
        <v>132</v>
      </c>
      <c r="D35" s="23">
        <v>68726520</v>
      </c>
      <c r="E35" s="24" t="s">
        <v>133</v>
      </c>
      <c r="F35" s="25">
        <v>45959</v>
      </c>
      <c r="G35" s="24">
        <v>3074176</v>
      </c>
      <c r="H35" s="22" t="s">
        <v>44</v>
      </c>
      <c r="I35" s="24" t="s">
        <v>45</v>
      </c>
      <c r="J35" s="26">
        <v>70</v>
      </c>
      <c r="K35" s="26">
        <v>60.35</v>
      </c>
      <c r="L35" s="26">
        <v>9.65</v>
      </c>
      <c r="N35" s="35"/>
      <c r="O35" s="35"/>
    </row>
    <row r="36" spans="1:15" x14ac:dyDescent="0.2">
      <c r="A36" s="20">
        <v>234</v>
      </c>
      <c r="B36" s="21">
        <v>483</v>
      </c>
      <c r="C36" s="22" t="s">
        <v>132</v>
      </c>
      <c r="D36" s="23">
        <v>68726520</v>
      </c>
      <c r="E36" s="24" t="s">
        <v>133</v>
      </c>
      <c r="F36" s="25">
        <v>45944</v>
      </c>
      <c r="G36" s="24">
        <v>3074192</v>
      </c>
      <c r="H36" s="22" t="s">
        <v>139</v>
      </c>
      <c r="I36" s="24" t="s">
        <v>140</v>
      </c>
      <c r="J36" s="26">
        <v>135</v>
      </c>
      <c r="K36" s="26">
        <v>116.25</v>
      </c>
      <c r="L36" s="26">
        <v>18.75</v>
      </c>
      <c r="N36" s="35"/>
      <c r="O36" s="35"/>
    </row>
    <row r="37" spans="1:15" x14ac:dyDescent="0.2">
      <c r="A37" s="20">
        <v>235</v>
      </c>
      <c r="B37" s="21">
        <v>483</v>
      </c>
      <c r="C37" s="22" t="s">
        <v>132</v>
      </c>
      <c r="D37" s="23">
        <v>68726520</v>
      </c>
      <c r="E37" s="24" t="s">
        <v>133</v>
      </c>
      <c r="F37" s="25">
        <v>45944</v>
      </c>
      <c r="G37" s="24">
        <v>3074283</v>
      </c>
      <c r="H37" s="22" t="s">
        <v>122</v>
      </c>
      <c r="I37" s="24" t="s">
        <v>123</v>
      </c>
      <c r="J37" s="26">
        <v>91</v>
      </c>
      <c r="K37" s="26">
        <v>81.62</v>
      </c>
      <c r="L37" s="26">
        <v>9.3800000000000008</v>
      </c>
      <c r="N37" s="35"/>
      <c r="O37" s="35"/>
    </row>
    <row r="38" spans="1:15" x14ac:dyDescent="0.2">
      <c r="A38" s="20">
        <v>236</v>
      </c>
      <c r="B38" s="21">
        <v>483</v>
      </c>
      <c r="C38" s="22" t="s">
        <v>132</v>
      </c>
      <c r="D38" s="23">
        <v>68726520</v>
      </c>
      <c r="E38" s="24" t="s">
        <v>133</v>
      </c>
      <c r="F38" s="25">
        <v>45959</v>
      </c>
      <c r="G38" s="24">
        <v>3074283</v>
      </c>
      <c r="H38" s="22" t="s">
        <v>122</v>
      </c>
      <c r="I38" s="24" t="s">
        <v>123</v>
      </c>
      <c r="J38" s="26">
        <v>91</v>
      </c>
      <c r="K38" s="26">
        <v>81.62</v>
      </c>
      <c r="L38" s="26">
        <v>9.3800000000000008</v>
      </c>
      <c r="N38" s="35"/>
      <c r="O38" s="35"/>
    </row>
    <row r="39" spans="1:15" ht="22.5" x14ac:dyDescent="0.2">
      <c r="A39" s="20">
        <v>237</v>
      </c>
      <c r="B39" s="21">
        <v>483</v>
      </c>
      <c r="C39" s="22" t="s">
        <v>132</v>
      </c>
      <c r="D39" s="23">
        <v>68726520</v>
      </c>
      <c r="E39" s="24" t="s">
        <v>133</v>
      </c>
      <c r="F39" s="25">
        <v>45944</v>
      </c>
      <c r="G39" s="24">
        <v>3075298</v>
      </c>
      <c r="H39" s="22" t="s">
        <v>124</v>
      </c>
      <c r="I39" s="24" t="s">
        <v>125</v>
      </c>
      <c r="J39" s="26">
        <v>39</v>
      </c>
      <c r="K39" s="26">
        <v>32.36</v>
      </c>
      <c r="L39" s="26">
        <v>6.64</v>
      </c>
      <c r="N39" s="35"/>
      <c r="O39" s="35"/>
    </row>
    <row r="40" spans="1:15" ht="22.5" x14ac:dyDescent="0.2">
      <c r="A40" s="20">
        <v>238</v>
      </c>
      <c r="B40" s="21">
        <v>483</v>
      </c>
      <c r="C40" s="22" t="s">
        <v>132</v>
      </c>
      <c r="D40" s="23">
        <v>68726520</v>
      </c>
      <c r="E40" s="24" t="s">
        <v>133</v>
      </c>
      <c r="F40" s="25">
        <v>45959</v>
      </c>
      <c r="G40" s="24">
        <v>3075298</v>
      </c>
      <c r="H40" s="22" t="s">
        <v>124</v>
      </c>
      <c r="I40" s="24" t="s">
        <v>125</v>
      </c>
      <c r="J40" s="26">
        <v>39</v>
      </c>
      <c r="K40" s="26">
        <v>32.36</v>
      </c>
      <c r="L40" s="26">
        <v>6.64</v>
      </c>
      <c r="N40" s="35"/>
      <c r="O40" s="35"/>
    </row>
    <row r="41" spans="1:15" ht="22.5" x14ac:dyDescent="0.2">
      <c r="A41" s="20">
        <v>239</v>
      </c>
      <c r="B41" s="21">
        <v>483</v>
      </c>
      <c r="C41" s="22" t="s">
        <v>132</v>
      </c>
      <c r="D41" s="23">
        <v>68726520</v>
      </c>
      <c r="E41" s="24" t="s">
        <v>133</v>
      </c>
      <c r="F41" s="25">
        <v>45959</v>
      </c>
      <c r="G41" s="24">
        <v>3076254</v>
      </c>
      <c r="H41" s="22" t="s">
        <v>141</v>
      </c>
      <c r="I41" s="24" t="s">
        <v>142</v>
      </c>
      <c r="J41" s="26">
        <v>70</v>
      </c>
      <c r="K41" s="26">
        <v>57.37</v>
      </c>
      <c r="L41" s="26">
        <v>12.63</v>
      </c>
      <c r="N41" s="35"/>
      <c r="O41" s="35"/>
    </row>
    <row r="42" spans="1:15" ht="33.75" x14ac:dyDescent="0.2">
      <c r="A42" s="20">
        <v>240</v>
      </c>
      <c r="B42" s="21">
        <v>483</v>
      </c>
      <c r="C42" s="22" t="s">
        <v>132</v>
      </c>
      <c r="D42" s="23">
        <v>68726520</v>
      </c>
      <c r="E42" s="24" t="s">
        <v>133</v>
      </c>
      <c r="F42" s="25">
        <v>45944</v>
      </c>
      <c r="G42" s="24">
        <v>3076486</v>
      </c>
      <c r="H42" s="22" t="s">
        <v>92</v>
      </c>
      <c r="I42" s="24" t="s">
        <v>93</v>
      </c>
      <c r="J42" s="26">
        <v>93</v>
      </c>
      <c r="K42" s="26">
        <v>69.48</v>
      </c>
      <c r="L42" s="26">
        <v>23.52</v>
      </c>
      <c r="N42" s="35"/>
      <c r="O42" s="35"/>
    </row>
    <row r="43" spans="1:15" ht="33.75" x14ac:dyDescent="0.2">
      <c r="A43" s="20">
        <v>241</v>
      </c>
      <c r="B43" s="21">
        <v>483</v>
      </c>
      <c r="C43" s="22" t="s">
        <v>132</v>
      </c>
      <c r="D43" s="23">
        <v>68726520</v>
      </c>
      <c r="E43" s="24" t="s">
        <v>133</v>
      </c>
      <c r="F43" s="25">
        <v>45959</v>
      </c>
      <c r="G43" s="24">
        <v>3076486</v>
      </c>
      <c r="H43" s="22" t="s">
        <v>92</v>
      </c>
      <c r="I43" s="24" t="s">
        <v>93</v>
      </c>
      <c r="J43" s="26">
        <v>93</v>
      </c>
      <c r="K43" s="26">
        <v>69.48</v>
      </c>
      <c r="L43" s="26">
        <v>23.52</v>
      </c>
      <c r="N43" s="35"/>
      <c r="O43" s="35"/>
    </row>
    <row r="44" spans="1:15" x14ac:dyDescent="0.2">
      <c r="A44" s="20">
        <v>242</v>
      </c>
      <c r="B44" s="21">
        <v>483</v>
      </c>
      <c r="C44" s="22" t="s">
        <v>132</v>
      </c>
      <c r="D44" s="23">
        <v>68726520</v>
      </c>
      <c r="E44" s="24" t="s">
        <v>133</v>
      </c>
      <c r="F44" s="25">
        <v>45944</v>
      </c>
      <c r="G44" s="24">
        <v>3077666</v>
      </c>
      <c r="H44" s="22" t="s">
        <v>143</v>
      </c>
      <c r="I44" s="24" t="s">
        <v>144</v>
      </c>
      <c r="J44" s="26">
        <v>46</v>
      </c>
      <c r="K44" s="26">
        <v>24.59</v>
      </c>
      <c r="L44" s="26">
        <v>21.41</v>
      </c>
      <c r="N44" s="35"/>
      <c r="O44" s="35"/>
    </row>
    <row r="45" spans="1:15" x14ac:dyDescent="0.2">
      <c r="A45" s="20">
        <v>243</v>
      </c>
      <c r="B45" s="21">
        <v>483</v>
      </c>
      <c r="C45" s="22" t="s">
        <v>132</v>
      </c>
      <c r="D45" s="23">
        <v>68726520</v>
      </c>
      <c r="E45" s="24" t="s">
        <v>133</v>
      </c>
      <c r="F45" s="25">
        <v>45959</v>
      </c>
      <c r="G45" s="24">
        <v>3077666</v>
      </c>
      <c r="H45" s="22" t="s">
        <v>143</v>
      </c>
      <c r="I45" s="24" t="s">
        <v>144</v>
      </c>
      <c r="J45" s="26">
        <v>46</v>
      </c>
      <c r="K45" s="26">
        <v>24.59</v>
      </c>
      <c r="L45" s="26">
        <v>21.41</v>
      </c>
      <c r="N45" s="35"/>
      <c r="O45" s="35"/>
    </row>
    <row r="46" spans="1:15" x14ac:dyDescent="0.2">
      <c r="A46" s="20">
        <v>244</v>
      </c>
      <c r="B46" s="21">
        <v>483</v>
      </c>
      <c r="C46" s="22" t="s">
        <v>132</v>
      </c>
      <c r="D46" s="23">
        <v>68726520</v>
      </c>
      <c r="E46" s="24" t="s">
        <v>133</v>
      </c>
      <c r="F46" s="25">
        <v>45944</v>
      </c>
      <c r="G46" s="24">
        <v>3077674</v>
      </c>
      <c r="H46" s="22" t="s">
        <v>145</v>
      </c>
      <c r="I46" s="24" t="s">
        <v>146</v>
      </c>
      <c r="J46" s="26">
        <v>55</v>
      </c>
      <c r="K46" s="26">
        <v>29.6</v>
      </c>
      <c r="L46" s="26">
        <v>25.4</v>
      </c>
      <c r="N46" s="35"/>
      <c r="O46" s="35"/>
    </row>
    <row r="47" spans="1:15" x14ac:dyDescent="0.2">
      <c r="A47" s="20">
        <v>245</v>
      </c>
      <c r="B47" s="21">
        <v>483</v>
      </c>
      <c r="C47" s="22" t="s">
        <v>132</v>
      </c>
      <c r="D47" s="23">
        <v>68726520</v>
      </c>
      <c r="E47" s="24" t="s">
        <v>133</v>
      </c>
      <c r="F47" s="25">
        <v>45959</v>
      </c>
      <c r="G47" s="24">
        <v>3077674</v>
      </c>
      <c r="H47" s="22" t="s">
        <v>145</v>
      </c>
      <c r="I47" s="24" t="s">
        <v>146</v>
      </c>
      <c r="J47" s="26">
        <v>55</v>
      </c>
      <c r="K47" s="26">
        <v>29.6</v>
      </c>
      <c r="L47" s="26">
        <v>25.4</v>
      </c>
      <c r="N47" s="35"/>
      <c r="O47" s="35"/>
    </row>
    <row r="48" spans="1:15" x14ac:dyDescent="0.2">
      <c r="A48" s="20">
        <v>246</v>
      </c>
      <c r="B48" s="21">
        <v>483</v>
      </c>
      <c r="C48" s="22" t="s">
        <v>132</v>
      </c>
      <c r="D48" s="23">
        <v>68726520</v>
      </c>
      <c r="E48" s="24" t="s">
        <v>133</v>
      </c>
      <c r="F48" s="25">
        <v>45944</v>
      </c>
      <c r="G48" s="24">
        <v>3077682</v>
      </c>
      <c r="H48" s="22" t="s">
        <v>145</v>
      </c>
      <c r="I48" s="24" t="s">
        <v>147</v>
      </c>
      <c r="J48" s="26">
        <v>62</v>
      </c>
      <c r="K48" s="26">
        <v>36.6</v>
      </c>
      <c r="L48" s="26">
        <v>25.4</v>
      </c>
      <c r="N48" s="35"/>
      <c r="O48" s="35"/>
    </row>
    <row r="49" spans="1:15" x14ac:dyDescent="0.2">
      <c r="A49" s="20">
        <v>247</v>
      </c>
      <c r="B49" s="21">
        <v>483</v>
      </c>
      <c r="C49" s="22" t="s">
        <v>132</v>
      </c>
      <c r="D49" s="23">
        <v>68726520</v>
      </c>
      <c r="E49" s="24" t="s">
        <v>133</v>
      </c>
      <c r="F49" s="25">
        <v>45959</v>
      </c>
      <c r="G49" s="24">
        <v>3077682</v>
      </c>
      <c r="H49" s="22" t="s">
        <v>145</v>
      </c>
      <c r="I49" s="24" t="s">
        <v>147</v>
      </c>
      <c r="J49" s="26">
        <v>62</v>
      </c>
      <c r="K49" s="26">
        <v>36.6</v>
      </c>
      <c r="L49" s="26">
        <v>25.4</v>
      </c>
      <c r="N49" s="35"/>
      <c r="O49" s="35"/>
    </row>
    <row r="50" spans="1:15" x14ac:dyDescent="0.2">
      <c r="A50" s="20">
        <v>248</v>
      </c>
      <c r="B50" s="21">
        <v>483</v>
      </c>
      <c r="C50" s="22" t="s">
        <v>132</v>
      </c>
      <c r="D50" s="23">
        <v>68726520</v>
      </c>
      <c r="E50" s="24" t="s">
        <v>133</v>
      </c>
      <c r="F50" s="25">
        <v>45938</v>
      </c>
      <c r="G50" s="24">
        <v>3078243</v>
      </c>
      <c r="H50" s="22" t="s">
        <v>96</v>
      </c>
      <c r="I50" s="24" t="s">
        <v>97</v>
      </c>
      <c r="J50" s="26">
        <v>123</v>
      </c>
      <c r="K50" s="26">
        <v>103.02</v>
      </c>
      <c r="L50" s="26">
        <v>19.98</v>
      </c>
      <c r="N50" s="35"/>
      <c r="O50" s="35"/>
    </row>
    <row r="51" spans="1:15" ht="22.5" x14ac:dyDescent="0.2">
      <c r="A51" s="20">
        <v>249</v>
      </c>
      <c r="B51" s="21">
        <v>483</v>
      </c>
      <c r="C51" s="22" t="s">
        <v>132</v>
      </c>
      <c r="D51" s="23">
        <v>68726520</v>
      </c>
      <c r="E51" s="24" t="s">
        <v>133</v>
      </c>
      <c r="F51" s="25">
        <v>45944</v>
      </c>
      <c r="G51" s="24">
        <v>3078342</v>
      </c>
      <c r="H51" s="22" t="s">
        <v>148</v>
      </c>
      <c r="I51" s="24" t="s">
        <v>149</v>
      </c>
      <c r="J51" s="26">
        <v>42</v>
      </c>
      <c r="K51" s="26">
        <v>22.81</v>
      </c>
      <c r="L51" s="26">
        <v>19.190000000000001</v>
      </c>
      <c r="N51" s="35"/>
      <c r="O51" s="35"/>
    </row>
    <row r="52" spans="1:15" ht="22.5" x14ac:dyDescent="0.2">
      <c r="A52" s="20">
        <v>250</v>
      </c>
      <c r="B52" s="21">
        <v>483</v>
      </c>
      <c r="C52" s="22" t="s">
        <v>132</v>
      </c>
      <c r="D52" s="23">
        <v>68726520</v>
      </c>
      <c r="E52" s="24" t="s">
        <v>133</v>
      </c>
      <c r="F52" s="25">
        <v>45938</v>
      </c>
      <c r="G52" s="24">
        <v>3079688</v>
      </c>
      <c r="H52" s="22" t="s">
        <v>78</v>
      </c>
      <c r="I52" s="24" t="s">
        <v>79</v>
      </c>
      <c r="J52" s="26">
        <v>81</v>
      </c>
      <c r="K52" s="26">
        <v>70.12</v>
      </c>
      <c r="L52" s="26">
        <v>10.88</v>
      </c>
      <c r="N52" s="35"/>
      <c r="O52" s="35"/>
    </row>
    <row r="53" spans="1:15" ht="22.5" x14ac:dyDescent="0.2">
      <c r="A53" s="20">
        <v>251</v>
      </c>
      <c r="B53" s="21">
        <v>483</v>
      </c>
      <c r="C53" s="22" t="s">
        <v>132</v>
      </c>
      <c r="D53" s="23">
        <v>68726520</v>
      </c>
      <c r="E53" s="24" t="s">
        <v>133</v>
      </c>
      <c r="F53" s="25">
        <v>45938</v>
      </c>
      <c r="G53" s="24">
        <v>3086303</v>
      </c>
      <c r="H53" s="22" t="s">
        <v>98</v>
      </c>
      <c r="I53" s="24" t="s">
        <v>99</v>
      </c>
      <c r="J53" s="26">
        <v>66</v>
      </c>
      <c r="K53" s="26">
        <v>59.99</v>
      </c>
      <c r="L53" s="26">
        <v>6.01</v>
      </c>
      <c r="N53" s="35"/>
      <c r="O53" s="35"/>
    </row>
    <row r="54" spans="1:15" ht="22.5" x14ac:dyDescent="0.2">
      <c r="A54" s="20">
        <v>252</v>
      </c>
      <c r="B54" s="21">
        <v>483</v>
      </c>
      <c r="C54" s="22" t="s">
        <v>132</v>
      </c>
      <c r="D54" s="23">
        <v>68726520</v>
      </c>
      <c r="E54" s="24" t="s">
        <v>133</v>
      </c>
      <c r="F54" s="25">
        <v>45938</v>
      </c>
      <c r="G54" s="24">
        <v>3086428</v>
      </c>
      <c r="H54" s="22" t="s">
        <v>100</v>
      </c>
      <c r="I54" s="24" t="s">
        <v>101</v>
      </c>
      <c r="J54" s="26">
        <v>62</v>
      </c>
      <c r="K54" s="26">
        <v>53.59</v>
      </c>
      <c r="L54" s="26">
        <v>8.41</v>
      </c>
      <c r="N54" s="35"/>
      <c r="O54" s="35"/>
    </row>
    <row r="55" spans="1:15" ht="22.5" x14ac:dyDescent="0.2">
      <c r="A55" s="20">
        <v>253</v>
      </c>
      <c r="B55" s="21">
        <v>483</v>
      </c>
      <c r="C55" s="22" t="s">
        <v>132</v>
      </c>
      <c r="D55" s="23">
        <v>68726520</v>
      </c>
      <c r="E55" s="24" t="s">
        <v>133</v>
      </c>
      <c r="F55" s="25">
        <v>45946</v>
      </c>
      <c r="G55" s="24">
        <v>3087228</v>
      </c>
      <c r="H55" s="22" t="s">
        <v>102</v>
      </c>
      <c r="I55" s="24" t="s">
        <v>103</v>
      </c>
      <c r="J55" s="26">
        <v>97</v>
      </c>
      <c r="K55" s="26">
        <v>82.539999999999992</v>
      </c>
      <c r="L55" s="26">
        <v>14.46</v>
      </c>
      <c r="N55" s="35"/>
      <c r="O55" s="35"/>
    </row>
    <row r="56" spans="1:15" ht="22.5" x14ac:dyDescent="0.2">
      <c r="A56" s="20">
        <v>254</v>
      </c>
      <c r="B56" s="21">
        <v>483</v>
      </c>
      <c r="C56" s="22" t="s">
        <v>132</v>
      </c>
      <c r="D56" s="23">
        <v>68726520</v>
      </c>
      <c r="E56" s="24" t="s">
        <v>133</v>
      </c>
      <c r="F56" s="25">
        <v>45959</v>
      </c>
      <c r="G56" s="24">
        <v>3088119</v>
      </c>
      <c r="H56" s="22" t="s">
        <v>104</v>
      </c>
      <c r="I56" s="24" t="s">
        <v>105</v>
      </c>
      <c r="J56" s="26">
        <v>47</v>
      </c>
      <c r="K56" s="26">
        <v>42.56</v>
      </c>
      <c r="L56" s="26">
        <v>4.4400000000000004</v>
      </c>
      <c r="N56" s="35"/>
      <c r="O56" s="35"/>
    </row>
    <row r="57" spans="1:15" ht="22.5" x14ac:dyDescent="0.2">
      <c r="A57" s="20">
        <v>255</v>
      </c>
      <c r="B57" s="21">
        <v>483</v>
      </c>
      <c r="C57" s="22" t="s">
        <v>132</v>
      </c>
      <c r="D57" s="23">
        <v>68726520</v>
      </c>
      <c r="E57" s="24" t="s">
        <v>133</v>
      </c>
      <c r="F57" s="25">
        <v>45944</v>
      </c>
      <c r="G57" s="24">
        <v>3088127</v>
      </c>
      <c r="H57" s="22" t="s">
        <v>126</v>
      </c>
      <c r="I57" s="24" t="s">
        <v>127</v>
      </c>
      <c r="J57" s="26">
        <v>23</v>
      </c>
      <c r="K57" s="26">
        <v>19.850000000000001</v>
      </c>
      <c r="L57" s="26">
        <v>3.15</v>
      </c>
      <c r="N57" s="35"/>
      <c r="O57" s="35"/>
    </row>
    <row r="58" spans="1:15" x14ac:dyDescent="0.2">
      <c r="A58" s="20">
        <v>256</v>
      </c>
      <c r="B58" s="21">
        <v>483</v>
      </c>
      <c r="C58" s="22" t="s">
        <v>132</v>
      </c>
      <c r="D58" s="23">
        <v>68726520</v>
      </c>
      <c r="E58" s="24" t="s">
        <v>133</v>
      </c>
      <c r="F58" s="25">
        <v>45944</v>
      </c>
      <c r="G58" s="24">
        <v>3112240</v>
      </c>
      <c r="H58" s="22" t="s">
        <v>150</v>
      </c>
      <c r="I58" s="24" t="s">
        <v>151</v>
      </c>
      <c r="J58" s="26">
        <v>129</v>
      </c>
      <c r="K58" s="26">
        <v>69.02000000000001</v>
      </c>
      <c r="L58" s="26">
        <v>59.98</v>
      </c>
      <c r="N58" s="35"/>
      <c r="O58" s="35"/>
    </row>
    <row r="59" spans="1:15" x14ac:dyDescent="0.2">
      <c r="A59" s="20">
        <v>257</v>
      </c>
      <c r="B59" s="21">
        <v>483</v>
      </c>
      <c r="C59" s="22" t="s">
        <v>132</v>
      </c>
      <c r="D59" s="23">
        <v>68726520</v>
      </c>
      <c r="E59" s="24" t="s">
        <v>133</v>
      </c>
      <c r="F59" s="25">
        <v>45959</v>
      </c>
      <c r="G59" s="24">
        <v>3112240</v>
      </c>
      <c r="H59" s="22" t="s">
        <v>150</v>
      </c>
      <c r="I59" s="24" t="s">
        <v>151</v>
      </c>
      <c r="J59" s="26">
        <v>129</v>
      </c>
      <c r="K59" s="26">
        <v>69.02000000000001</v>
      </c>
      <c r="L59" s="26">
        <v>59.98</v>
      </c>
      <c r="N59" s="35"/>
      <c r="O59" s="35"/>
    </row>
    <row r="60" spans="1:15" ht="22.5" x14ac:dyDescent="0.2">
      <c r="A60" s="20">
        <v>258</v>
      </c>
      <c r="B60" s="21">
        <v>483</v>
      </c>
      <c r="C60" s="22" t="s">
        <v>132</v>
      </c>
      <c r="D60" s="23">
        <v>68726520</v>
      </c>
      <c r="E60" s="24" t="s">
        <v>133</v>
      </c>
      <c r="F60" s="25">
        <v>45944</v>
      </c>
      <c r="G60" s="24">
        <v>7301021</v>
      </c>
      <c r="H60" s="22" t="s">
        <v>152</v>
      </c>
      <c r="I60" s="24" t="s">
        <v>153</v>
      </c>
      <c r="J60" s="26">
        <v>189</v>
      </c>
      <c r="K60" s="26">
        <v>124.97</v>
      </c>
      <c r="L60" s="26">
        <v>64.03</v>
      </c>
      <c r="N60" s="35"/>
      <c r="O60" s="35"/>
    </row>
    <row r="61" spans="1:15" x14ac:dyDescent="0.2">
      <c r="B61" s="11"/>
      <c r="C61" s="27"/>
      <c r="D61" s="28"/>
      <c r="E61" s="11"/>
      <c r="F61" s="11"/>
      <c r="G61" s="11"/>
      <c r="H61" s="29"/>
      <c r="I61" s="29"/>
      <c r="J61" s="29"/>
      <c r="K61" s="34"/>
      <c r="L61" s="12"/>
    </row>
    <row r="62" spans="1:15" x14ac:dyDescent="0.2">
      <c r="B62" s="11"/>
      <c r="C62" s="27"/>
      <c r="D62" s="28"/>
      <c r="E62" s="14"/>
      <c r="F62" s="14"/>
      <c r="G62" s="14"/>
      <c r="H62" s="14"/>
      <c r="I62" s="29"/>
      <c r="J62" s="29"/>
      <c r="K62" s="12"/>
      <c r="L62" s="12"/>
    </row>
    <row r="63" spans="1:15" x14ac:dyDescent="0.2">
      <c r="B63" s="11"/>
      <c r="C63" s="27"/>
      <c r="D63" s="28"/>
      <c r="E63" s="11"/>
      <c r="F63" s="12"/>
      <c r="G63" s="12"/>
      <c r="H63" s="12"/>
      <c r="I63" s="29"/>
      <c r="J63" s="29"/>
      <c r="K63" s="12"/>
      <c r="L63" s="12"/>
    </row>
    <row r="64" spans="1:15" ht="13.5" thickBot="1" x14ac:dyDescent="0.25">
      <c r="B64" s="11"/>
      <c r="C64" s="27"/>
      <c r="D64" s="12" t="s">
        <v>46</v>
      </c>
      <c r="E64" s="30"/>
      <c r="F64" s="30"/>
      <c r="G64" s="30"/>
      <c r="H64" s="31"/>
      <c r="I64" s="12"/>
      <c r="J64" s="29"/>
      <c r="K64" s="12"/>
      <c r="L64" s="32">
        <v>1696.6500000000015</v>
      </c>
    </row>
    <row r="65" spans="2:12" ht="13.5" thickTop="1" x14ac:dyDescent="0.2">
      <c r="B65" s="11"/>
      <c r="C65" s="27"/>
      <c r="D65" s="33"/>
      <c r="E65" s="30"/>
      <c r="F65" s="30"/>
      <c r="G65" s="30"/>
      <c r="H65" s="31"/>
      <c r="I65" s="12"/>
      <c r="J65" s="29"/>
      <c r="K65" s="12"/>
      <c r="L65" s="34"/>
    </row>
    <row r="69" spans="2:12" ht="59.65" customHeight="1" x14ac:dyDescent="0.25">
      <c r="C69"/>
      <c r="D69"/>
      <c r="E69"/>
      <c r="F69"/>
      <c r="G69"/>
      <c r="H69"/>
      <c r="I69"/>
      <c r="J69"/>
      <c r="K6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1970C81A-5F04-46CB-A85F-E029EAFA8E13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7911-4066-46A1-8901-37B8C7A1AAB2}">
  <sheetPr>
    <tabColor rgb="FFFFFF00"/>
    <pageSetUpPr fitToPage="1"/>
  </sheetPr>
  <dimension ref="A1:O47"/>
  <sheetViews>
    <sheetView topLeftCell="B3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154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155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14</v>
      </c>
      <c r="B20" s="12" t="s">
        <v>21</v>
      </c>
      <c r="C20" s="13">
        <v>4723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4274840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175</v>
      </c>
      <c r="B25" s="21">
        <v>483</v>
      </c>
      <c r="C25" s="22" t="s">
        <v>156</v>
      </c>
      <c r="D25" s="23">
        <v>68624915</v>
      </c>
      <c r="E25" s="24" t="s">
        <v>157</v>
      </c>
      <c r="F25" s="25">
        <v>45930</v>
      </c>
      <c r="G25" s="24">
        <v>3073061</v>
      </c>
      <c r="H25" s="22" t="s">
        <v>42</v>
      </c>
      <c r="I25" s="24" t="s">
        <v>43</v>
      </c>
      <c r="J25" s="26">
        <v>22</v>
      </c>
      <c r="K25" s="26">
        <v>11.92</v>
      </c>
      <c r="L25" s="26">
        <v>10.08</v>
      </c>
      <c r="N25" s="35"/>
      <c r="O25" s="35"/>
    </row>
    <row r="26" spans="1:15" x14ac:dyDescent="0.2">
      <c r="A26" s="20">
        <v>176</v>
      </c>
      <c r="B26" s="21">
        <v>483</v>
      </c>
      <c r="C26" s="22" t="s">
        <v>156</v>
      </c>
      <c r="D26" s="23">
        <v>68624915</v>
      </c>
      <c r="E26" s="24" t="s">
        <v>157</v>
      </c>
      <c r="F26" s="25">
        <v>45930</v>
      </c>
      <c r="G26" s="24">
        <v>3074085</v>
      </c>
      <c r="H26" s="22" t="s">
        <v>74</v>
      </c>
      <c r="I26" s="24" t="s">
        <v>75</v>
      </c>
      <c r="J26" s="26">
        <v>42</v>
      </c>
      <c r="K26" s="26">
        <v>33.54</v>
      </c>
      <c r="L26" s="26">
        <v>8.4600000000000009</v>
      </c>
      <c r="N26" s="35"/>
      <c r="O26" s="35"/>
    </row>
    <row r="27" spans="1:15" ht="22.5" x14ac:dyDescent="0.2">
      <c r="A27" s="20">
        <v>177</v>
      </c>
      <c r="B27" s="21">
        <v>483</v>
      </c>
      <c r="C27" s="22" t="s">
        <v>156</v>
      </c>
      <c r="D27" s="23">
        <v>68624915</v>
      </c>
      <c r="E27" s="24" t="s">
        <v>157</v>
      </c>
      <c r="F27" s="25">
        <v>45930</v>
      </c>
      <c r="G27" s="24">
        <v>3088119</v>
      </c>
      <c r="H27" s="22" t="s">
        <v>104</v>
      </c>
      <c r="I27" s="24" t="s">
        <v>105</v>
      </c>
      <c r="J27" s="26">
        <v>47</v>
      </c>
      <c r="K27" s="26">
        <v>42.56</v>
      </c>
      <c r="L27" s="26">
        <v>4.4400000000000004</v>
      </c>
      <c r="N27" s="35"/>
      <c r="O27" s="35"/>
    </row>
    <row r="28" spans="1:15" ht="22.5" x14ac:dyDescent="0.2">
      <c r="A28" s="20">
        <v>178</v>
      </c>
      <c r="B28" s="21">
        <v>483</v>
      </c>
      <c r="C28" s="22" t="s">
        <v>158</v>
      </c>
      <c r="D28" s="23">
        <v>68645043</v>
      </c>
      <c r="E28" s="24" t="s">
        <v>159</v>
      </c>
      <c r="F28" s="25">
        <v>45932</v>
      </c>
      <c r="G28" s="24">
        <v>3073061</v>
      </c>
      <c r="H28" s="22" t="s">
        <v>42</v>
      </c>
      <c r="I28" s="24" t="s">
        <v>43</v>
      </c>
      <c r="J28" s="26">
        <v>22</v>
      </c>
      <c r="K28" s="26">
        <v>11.92</v>
      </c>
      <c r="L28" s="26">
        <v>10.08</v>
      </c>
      <c r="N28" s="35"/>
      <c r="O28" s="35"/>
    </row>
    <row r="29" spans="1:15" x14ac:dyDescent="0.2">
      <c r="A29" s="20">
        <v>179</v>
      </c>
      <c r="B29" s="21">
        <v>483</v>
      </c>
      <c r="C29" s="22" t="s">
        <v>158</v>
      </c>
      <c r="D29" s="23">
        <v>68645043</v>
      </c>
      <c r="E29" s="24" t="s">
        <v>159</v>
      </c>
      <c r="F29" s="25">
        <v>45932</v>
      </c>
      <c r="G29" s="24">
        <v>3074085</v>
      </c>
      <c r="H29" s="22" t="s">
        <v>74</v>
      </c>
      <c r="I29" s="24" t="s">
        <v>75</v>
      </c>
      <c r="J29" s="26">
        <v>42</v>
      </c>
      <c r="K29" s="26">
        <v>33.54</v>
      </c>
      <c r="L29" s="26">
        <v>8.4600000000000009</v>
      </c>
      <c r="N29" s="35"/>
      <c r="O29" s="35"/>
    </row>
    <row r="30" spans="1:15" ht="22.5" x14ac:dyDescent="0.2">
      <c r="A30" s="20">
        <v>180</v>
      </c>
      <c r="B30" s="21">
        <v>483</v>
      </c>
      <c r="C30" s="22" t="s">
        <v>158</v>
      </c>
      <c r="D30" s="23">
        <v>68645043</v>
      </c>
      <c r="E30" s="24" t="s">
        <v>159</v>
      </c>
      <c r="F30" s="25">
        <v>45932</v>
      </c>
      <c r="G30" s="24">
        <v>3088119</v>
      </c>
      <c r="H30" s="22" t="s">
        <v>104</v>
      </c>
      <c r="I30" s="24" t="s">
        <v>105</v>
      </c>
      <c r="J30" s="26">
        <v>47</v>
      </c>
      <c r="K30" s="26">
        <v>42.56</v>
      </c>
      <c r="L30" s="26">
        <v>4.4400000000000004</v>
      </c>
      <c r="N30" s="35"/>
      <c r="O30" s="35"/>
    </row>
    <row r="31" spans="1:15" ht="22.5" x14ac:dyDescent="0.2">
      <c r="A31" s="20">
        <v>181</v>
      </c>
      <c r="B31" s="21">
        <v>483</v>
      </c>
      <c r="C31" s="22" t="s">
        <v>158</v>
      </c>
      <c r="D31" s="23">
        <v>68824366</v>
      </c>
      <c r="E31" s="24" t="s">
        <v>159</v>
      </c>
      <c r="F31" s="25">
        <v>45957</v>
      </c>
      <c r="G31" s="24">
        <v>3073061</v>
      </c>
      <c r="H31" s="22" t="s">
        <v>42</v>
      </c>
      <c r="I31" s="24" t="s">
        <v>43</v>
      </c>
      <c r="J31" s="26">
        <v>22</v>
      </c>
      <c r="K31" s="26">
        <v>11.92</v>
      </c>
      <c r="L31" s="26">
        <v>10.08</v>
      </c>
      <c r="N31" s="35"/>
      <c r="O31" s="35"/>
    </row>
    <row r="32" spans="1:15" x14ac:dyDescent="0.2">
      <c r="A32" s="20">
        <v>182</v>
      </c>
      <c r="B32" s="21">
        <v>483</v>
      </c>
      <c r="C32" s="22" t="s">
        <v>158</v>
      </c>
      <c r="D32" s="23">
        <v>68824366</v>
      </c>
      <c r="E32" s="24" t="s">
        <v>159</v>
      </c>
      <c r="F32" s="25">
        <v>45957</v>
      </c>
      <c r="G32" s="24">
        <v>3074085</v>
      </c>
      <c r="H32" s="22" t="s">
        <v>74</v>
      </c>
      <c r="I32" s="24" t="s">
        <v>75</v>
      </c>
      <c r="J32" s="26">
        <v>42</v>
      </c>
      <c r="K32" s="26">
        <v>33.54</v>
      </c>
      <c r="L32" s="26">
        <v>8.4600000000000009</v>
      </c>
      <c r="N32" s="35"/>
      <c r="O32" s="35"/>
    </row>
    <row r="33" spans="1:15" ht="22.5" x14ac:dyDescent="0.2">
      <c r="A33" s="20">
        <v>183</v>
      </c>
      <c r="B33" s="21">
        <v>483</v>
      </c>
      <c r="C33" s="22" t="s">
        <v>158</v>
      </c>
      <c r="D33" s="23">
        <v>68824366</v>
      </c>
      <c r="E33" s="24" t="s">
        <v>159</v>
      </c>
      <c r="F33" s="25">
        <v>45957</v>
      </c>
      <c r="G33" s="24">
        <v>3088119</v>
      </c>
      <c r="H33" s="22" t="s">
        <v>104</v>
      </c>
      <c r="I33" s="24" t="s">
        <v>105</v>
      </c>
      <c r="J33" s="26">
        <v>47</v>
      </c>
      <c r="K33" s="26">
        <v>42.56</v>
      </c>
      <c r="L33" s="26">
        <v>4.4400000000000004</v>
      </c>
      <c r="N33" s="35"/>
      <c r="O33" s="35"/>
    </row>
    <row r="34" spans="1:15" ht="22.5" x14ac:dyDescent="0.2">
      <c r="A34" s="20">
        <v>184</v>
      </c>
      <c r="B34" s="21">
        <v>483</v>
      </c>
      <c r="C34" s="22" t="s">
        <v>158</v>
      </c>
      <c r="D34" s="23">
        <v>68824366</v>
      </c>
      <c r="E34" s="24" t="s">
        <v>159</v>
      </c>
      <c r="F34" s="25">
        <v>45957</v>
      </c>
      <c r="G34" s="24">
        <v>7301021</v>
      </c>
      <c r="H34" s="22" t="s">
        <v>152</v>
      </c>
      <c r="I34" s="24" t="s">
        <v>153</v>
      </c>
      <c r="J34" s="26">
        <v>189</v>
      </c>
      <c r="K34" s="26">
        <v>124.97</v>
      </c>
      <c r="L34" s="26">
        <v>64.03</v>
      </c>
      <c r="N34" s="35"/>
      <c r="O34" s="35"/>
    </row>
    <row r="35" spans="1:15" ht="22.5" x14ac:dyDescent="0.2">
      <c r="A35" s="20">
        <v>185</v>
      </c>
      <c r="B35" s="21">
        <v>483</v>
      </c>
      <c r="C35" s="22" t="s">
        <v>156</v>
      </c>
      <c r="D35" s="23">
        <v>68821834</v>
      </c>
      <c r="E35" s="24" t="s">
        <v>157</v>
      </c>
      <c r="F35" s="25">
        <v>45957</v>
      </c>
      <c r="G35" s="24">
        <v>3073061</v>
      </c>
      <c r="H35" s="22" t="s">
        <v>42</v>
      </c>
      <c r="I35" s="24" t="s">
        <v>43</v>
      </c>
      <c r="J35" s="26">
        <v>22</v>
      </c>
      <c r="K35" s="26">
        <v>11.92</v>
      </c>
      <c r="L35" s="26">
        <v>10.08</v>
      </c>
      <c r="N35" s="35"/>
      <c r="O35" s="35"/>
    </row>
    <row r="36" spans="1:15" x14ac:dyDescent="0.2">
      <c r="A36" s="20">
        <v>186</v>
      </c>
      <c r="B36" s="21">
        <v>483</v>
      </c>
      <c r="C36" s="22" t="s">
        <v>156</v>
      </c>
      <c r="D36" s="23">
        <v>68821834</v>
      </c>
      <c r="E36" s="24" t="s">
        <v>157</v>
      </c>
      <c r="F36" s="25">
        <v>45957</v>
      </c>
      <c r="G36" s="24">
        <v>3074085</v>
      </c>
      <c r="H36" s="22" t="s">
        <v>74</v>
      </c>
      <c r="I36" s="24" t="s">
        <v>75</v>
      </c>
      <c r="J36" s="26">
        <v>42</v>
      </c>
      <c r="K36" s="26">
        <v>33.54</v>
      </c>
      <c r="L36" s="26">
        <v>8.4600000000000009</v>
      </c>
      <c r="N36" s="35"/>
      <c r="O36" s="35"/>
    </row>
    <row r="37" spans="1:15" ht="22.5" x14ac:dyDescent="0.2">
      <c r="A37" s="20">
        <v>187</v>
      </c>
      <c r="B37" s="21">
        <v>483</v>
      </c>
      <c r="C37" s="22" t="s">
        <v>156</v>
      </c>
      <c r="D37" s="23">
        <v>68821834</v>
      </c>
      <c r="E37" s="24" t="s">
        <v>157</v>
      </c>
      <c r="F37" s="25">
        <v>45957</v>
      </c>
      <c r="G37" s="24">
        <v>3088119</v>
      </c>
      <c r="H37" s="22" t="s">
        <v>104</v>
      </c>
      <c r="I37" s="24" t="s">
        <v>105</v>
      </c>
      <c r="J37" s="26">
        <v>47</v>
      </c>
      <c r="K37" s="26">
        <v>42.56</v>
      </c>
      <c r="L37" s="26">
        <v>4.4400000000000004</v>
      </c>
      <c r="N37" s="35"/>
      <c r="O37" s="35"/>
    </row>
    <row r="38" spans="1:15" ht="22.5" x14ac:dyDescent="0.2">
      <c r="A38" s="20">
        <v>188</v>
      </c>
      <c r="B38" s="21">
        <v>483</v>
      </c>
      <c r="C38" s="22" t="s">
        <v>156</v>
      </c>
      <c r="D38" s="23">
        <v>68821834</v>
      </c>
      <c r="E38" s="24" t="s">
        <v>157</v>
      </c>
      <c r="F38" s="25">
        <v>45957</v>
      </c>
      <c r="G38" s="24">
        <v>7301021</v>
      </c>
      <c r="H38" s="22" t="s">
        <v>152</v>
      </c>
      <c r="I38" s="24" t="s">
        <v>153</v>
      </c>
      <c r="J38" s="26">
        <v>189</v>
      </c>
      <c r="K38" s="26">
        <v>124.97</v>
      </c>
      <c r="L38" s="26">
        <v>64.03</v>
      </c>
      <c r="N38" s="35"/>
      <c r="O38" s="35"/>
    </row>
    <row r="39" spans="1:15" x14ac:dyDescent="0.2">
      <c r="B39" s="11"/>
      <c r="C39" s="27"/>
      <c r="D39" s="28"/>
      <c r="E39" s="11"/>
      <c r="F39" s="11"/>
      <c r="G39" s="11"/>
      <c r="H39" s="29"/>
      <c r="I39" s="29"/>
      <c r="J39" s="29"/>
      <c r="K39" s="34"/>
      <c r="L39" s="12"/>
    </row>
    <row r="40" spans="1:15" x14ac:dyDescent="0.2">
      <c r="B40" s="11"/>
      <c r="C40" s="27"/>
      <c r="D40" s="28"/>
      <c r="E40" s="14"/>
      <c r="F40" s="14"/>
      <c r="G40" s="14"/>
      <c r="H40" s="14"/>
      <c r="I40" s="29"/>
      <c r="J40" s="29"/>
      <c r="K40" s="12"/>
      <c r="L40" s="12"/>
    </row>
    <row r="41" spans="1:15" x14ac:dyDescent="0.2">
      <c r="B41" s="11"/>
      <c r="C41" s="27"/>
      <c r="D41" s="28"/>
      <c r="E41" s="11"/>
      <c r="F41" s="12"/>
      <c r="G41" s="12"/>
      <c r="H41" s="12"/>
      <c r="I41" s="29"/>
      <c r="J41" s="29"/>
      <c r="K41" s="12"/>
      <c r="L41" s="12"/>
    </row>
    <row r="42" spans="1:15" ht="13.5" thickBot="1" x14ac:dyDescent="0.25">
      <c r="B42" s="11"/>
      <c r="C42" s="27"/>
      <c r="D42" s="12" t="s">
        <v>46</v>
      </c>
      <c r="E42" s="30"/>
      <c r="F42" s="30"/>
      <c r="G42" s="30"/>
      <c r="H42" s="31"/>
      <c r="I42" s="12"/>
      <c r="J42" s="29"/>
      <c r="K42" s="12"/>
      <c r="L42" s="32">
        <v>219.98000000000002</v>
      </c>
    </row>
    <row r="43" spans="1:15" ht="13.5" thickTop="1" x14ac:dyDescent="0.2">
      <c r="B43" s="11"/>
      <c r="C43" s="27"/>
      <c r="D43" s="33"/>
      <c r="E43" s="30"/>
      <c r="F43" s="30"/>
      <c r="G43" s="30"/>
      <c r="H43" s="31"/>
      <c r="I43" s="12"/>
      <c r="J43" s="29"/>
      <c r="K43" s="12"/>
      <c r="L43" s="34"/>
    </row>
    <row r="47" spans="1:15" ht="59.65" customHeight="1" x14ac:dyDescent="0.25">
      <c r="C47"/>
      <c r="D47"/>
      <c r="E47"/>
      <c r="F47"/>
      <c r="G47"/>
      <c r="H47"/>
      <c r="I47"/>
      <c r="J47"/>
      <c r="K4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26DD4E2F-6063-49EE-91EC-C93AE59C3B28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19D4-253E-4003-98BB-BDAA52D6E5D6}">
  <sheetPr>
    <tabColor rgb="FFFFFF00"/>
    <pageSetUpPr fitToPage="1"/>
  </sheetPr>
  <dimension ref="A1:O35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160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161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2</v>
      </c>
      <c r="B20" s="12" t="s">
        <v>21</v>
      </c>
      <c r="C20" s="13">
        <v>5044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4278250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194</v>
      </c>
      <c r="B25" s="21">
        <v>483</v>
      </c>
      <c r="C25" s="22" t="s">
        <v>162</v>
      </c>
      <c r="D25" s="23">
        <v>68828680</v>
      </c>
      <c r="E25" s="24" t="s">
        <v>163</v>
      </c>
      <c r="F25" s="25">
        <v>45957</v>
      </c>
      <c r="G25" s="24">
        <v>3076254</v>
      </c>
      <c r="H25" s="22" t="s">
        <v>141</v>
      </c>
      <c r="I25" s="24" t="s">
        <v>142</v>
      </c>
      <c r="J25" s="26">
        <v>70</v>
      </c>
      <c r="K25" s="26">
        <v>57.37</v>
      </c>
      <c r="L25" s="26">
        <v>12.63</v>
      </c>
      <c r="N25" s="35"/>
      <c r="O25" s="35"/>
    </row>
    <row r="26" spans="1:15" ht="33.75" x14ac:dyDescent="0.2">
      <c r="A26" s="20">
        <v>195</v>
      </c>
      <c r="B26" s="21">
        <v>483</v>
      </c>
      <c r="C26" s="22" t="s">
        <v>162</v>
      </c>
      <c r="D26" s="23">
        <v>68828680</v>
      </c>
      <c r="E26" s="24" t="s">
        <v>163</v>
      </c>
      <c r="F26" s="25">
        <v>45957</v>
      </c>
      <c r="G26" s="24">
        <v>3076486</v>
      </c>
      <c r="H26" s="22" t="s">
        <v>92</v>
      </c>
      <c r="I26" s="24" t="s">
        <v>93</v>
      </c>
      <c r="J26" s="26">
        <v>93</v>
      </c>
      <c r="K26" s="26">
        <v>69.48</v>
      </c>
      <c r="L26" s="26">
        <v>23.52</v>
      </c>
      <c r="N26" s="35"/>
      <c r="O26" s="35"/>
    </row>
    <row r="27" spans="1:15" x14ac:dyDescent="0.2">
      <c r="B27" s="11"/>
      <c r="C27" s="27"/>
      <c r="D27" s="28"/>
      <c r="E27" s="11"/>
      <c r="F27" s="11"/>
      <c r="G27" s="11"/>
      <c r="H27" s="29"/>
      <c r="I27" s="29"/>
      <c r="J27" s="29"/>
      <c r="K27" s="34"/>
      <c r="L27" s="12"/>
    </row>
    <row r="28" spans="1:15" x14ac:dyDescent="0.2">
      <c r="B28" s="11"/>
      <c r="C28" s="27"/>
      <c r="D28" s="28"/>
      <c r="E28" s="14"/>
      <c r="F28" s="14"/>
      <c r="G28" s="14"/>
      <c r="H28" s="14"/>
      <c r="I28" s="29"/>
      <c r="J28" s="29"/>
      <c r="K28" s="12"/>
      <c r="L28" s="12"/>
    </row>
    <row r="29" spans="1:15" x14ac:dyDescent="0.2">
      <c r="B29" s="11"/>
      <c r="C29" s="27"/>
      <c r="D29" s="28"/>
      <c r="E29" s="11"/>
      <c r="F29" s="12"/>
      <c r="G29" s="12"/>
      <c r="H29" s="12"/>
      <c r="I29" s="29"/>
      <c r="J29" s="29"/>
      <c r="K29" s="12"/>
      <c r="L29" s="12"/>
    </row>
    <row r="30" spans="1:15" ht="13.5" thickBot="1" x14ac:dyDescent="0.25">
      <c r="B30" s="11"/>
      <c r="C30" s="27"/>
      <c r="D30" s="12" t="s">
        <v>46</v>
      </c>
      <c r="E30" s="30"/>
      <c r="F30" s="30"/>
      <c r="G30" s="30"/>
      <c r="H30" s="31"/>
      <c r="I30" s="12"/>
      <c r="J30" s="29"/>
      <c r="K30" s="12"/>
      <c r="L30" s="32">
        <v>36.15</v>
      </c>
    </row>
    <row r="31" spans="1:15" ht="13.5" thickTop="1" x14ac:dyDescent="0.2">
      <c r="B31" s="11"/>
      <c r="C31" s="27"/>
      <c r="D31" s="33"/>
      <c r="E31" s="30"/>
      <c r="F31" s="30"/>
      <c r="G31" s="30"/>
      <c r="H31" s="31"/>
      <c r="I31" s="12"/>
      <c r="J31" s="29"/>
      <c r="K31" s="12"/>
      <c r="L31" s="34"/>
    </row>
    <row r="35" spans="3:11" ht="59.65" customHeight="1" x14ac:dyDescent="0.25">
      <c r="C35"/>
      <c r="D35"/>
      <c r="E35"/>
      <c r="F35"/>
      <c r="G35"/>
      <c r="H35"/>
      <c r="I35"/>
      <c r="J35"/>
      <c r="K3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5D1B97C6-BDC4-41E5-9F73-5A3CD2065501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496E-C121-425F-835B-4A367C60A759}">
  <sheetPr>
    <tabColor rgb="FFFFFF00"/>
    <pageSetUpPr fitToPage="1"/>
  </sheetPr>
  <dimension ref="A1:O34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164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165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1</v>
      </c>
      <c r="B20" s="12" t="s">
        <v>21</v>
      </c>
      <c r="C20" s="13">
        <v>2108180277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4261420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x14ac:dyDescent="0.2">
      <c r="A25" s="20">
        <v>357</v>
      </c>
      <c r="B25" s="21">
        <v>483</v>
      </c>
      <c r="C25" s="22" t="s">
        <v>166</v>
      </c>
      <c r="D25" s="23">
        <v>68632207</v>
      </c>
      <c r="E25" s="24" t="s">
        <v>167</v>
      </c>
      <c r="F25" s="25">
        <v>45931</v>
      </c>
      <c r="G25" s="24">
        <v>3074085</v>
      </c>
      <c r="H25" s="22" t="s">
        <v>74</v>
      </c>
      <c r="I25" s="24" t="s">
        <v>75</v>
      </c>
      <c r="J25" s="26">
        <v>42</v>
      </c>
      <c r="K25" s="26">
        <v>33.54</v>
      </c>
      <c r="L25" s="26">
        <v>8.4600000000000009</v>
      </c>
      <c r="N25" s="35"/>
      <c r="O25" s="35"/>
    </row>
    <row r="26" spans="1:15" x14ac:dyDescent="0.2">
      <c r="B26" s="11"/>
      <c r="C26" s="27"/>
      <c r="D26" s="28"/>
      <c r="E26" s="11"/>
      <c r="F26" s="11"/>
      <c r="G26" s="11"/>
      <c r="H26" s="29"/>
      <c r="I26" s="29"/>
      <c r="J26" s="29"/>
      <c r="K26" s="34"/>
      <c r="L26" s="12"/>
    </row>
    <row r="27" spans="1:15" x14ac:dyDescent="0.2">
      <c r="B27" s="11"/>
      <c r="C27" s="27"/>
      <c r="D27" s="28"/>
      <c r="E27" s="14"/>
      <c r="F27" s="14"/>
      <c r="G27" s="14"/>
      <c r="H27" s="14"/>
      <c r="I27" s="29"/>
      <c r="J27" s="29"/>
      <c r="K27" s="12"/>
      <c r="L27" s="12"/>
    </row>
    <row r="28" spans="1:15" x14ac:dyDescent="0.2">
      <c r="B28" s="11"/>
      <c r="C28" s="27"/>
      <c r="D28" s="28"/>
      <c r="E28" s="11"/>
      <c r="F28" s="12"/>
      <c r="G28" s="12"/>
      <c r="H28" s="12"/>
      <c r="I28" s="29"/>
      <c r="J28" s="29"/>
      <c r="K28" s="12"/>
      <c r="L28" s="12"/>
    </row>
    <row r="29" spans="1:15" ht="13.5" thickBot="1" x14ac:dyDescent="0.25">
      <c r="B29" s="11"/>
      <c r="C29" s="27"/>
      <c r="D29" s="12" t="s">
        <v>46</v>
      </c>
      <c r="E29" s="30"/>
      <c r="F29" s="30"/>
      <c r="G29" s="30"/>
      <c r="H29" s="31"/>
      <c r="I29" s="12"/>
      <c r="J29" s="29"/>
      <c r="K29" s="12"/>
      <c r="L29" s="32">
        <v>8.4600000000000009</v>
      </c>
    </row>
    <row r="30" spans="1:15" ht="13.5" thickTop="1" x14ac:dyDescent="0.2">
      <c r="B30" s="11"/>
      <c r="C30" s="27"/>
      <c r="D30" s="33"/>
      <c r="E30" s="30"/>
      <c r="F30" s="30"/>
      <c r="G30" s="30"/>
      <c r="H30" s="31"/>
      <c r="I30" s="12"/>
      <c r="J30" s="29"/>
      <c r="K30" s="12"/>
      <c r="L30" s="34"/>
    </row>
    <row r="34" spans="3:11" ht="59.65" customHeight="1" x14ac:dyDescent="0.25">
      <c r="C34"/>
      <c r="D34"/>
      <c r="E34"/>
      <c r="F34"/>
      <c r="G34"/>
      <c r="H34"/>
      <c r="I34"/>
      <c r="J34"/>
      <c r="K34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0B490EA0-2C10-4709-A7DB-AE8B1B7F53A7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1328-4ECB-4773-98A9-AC2F3D0BDF70}">
  <sheetPr>
    <tabColor rgb="FFFFFF00"/>
    <pageSetUpPr fitToPage="1"/>
  </sheetPr>
  <dimension ref="A1:O42"/>
  <sheetViews>
    <sheetView topLeftCell="B20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168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169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9</v>
      </c>
      <c r="B20" s="12" t="s">
        <v>21</v>
      </c>
      <c r="C20" s="13">
        <v>5556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4278870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259</v>
      </c>
      <c r="B25" s="21">
        <v>483</v>
      </c>
      <c r="C25" s="22" t="s">
        <v>170</v>
      </c>
      <c r="D25" s="23">
        <v>68557362</v>
      </c>
      <c r="E25" s="24" t="s">
        <v>171</v>
      </c>
      <c r="F25" s="25">
        <v>45917</v>
      </c>
      <c r="G25" s="24">
        <v>3074085</v>
      </c>
      <c r="H25" s="22" t="s">
        <v>74</v>
      </c>
      <c r="I25" s="24" t="s">
        <v>75</v>
      </c>
      <c r="J25" s="26">
        <v>42</v>
      </c>
      <c r="K25" s="26">
        <v>33.54</v>
      </c>
      <c r="L25" s="26">
        <v>8.4600000000000009</v>
      </c>
      <c r="N25" s="35"/>
      <c r="O25" s="35"/>
    </row>
    <row r="26" spans="1:15" ht="22.5" x14ac:dyDescent="0.2">
      <c r="A26" s="20">
        <v>260</v>
      </c>
      <c r="B26" s="21">
        <v>483</v>
      </c>
      <c r="C26" s="22" t="s">
        <v>170</v>
      </c>
      <c r="D26" s="23">
        <v>68557362</v>
      </c>
      <c r="E26" s="24" t="s">
        <v>171</v>
      </c>
      <c r="F26" s="25">
        <v>45924</v>
      </c>
      <c r="G26" s="24">
        <v>3074085</v>
      </c>
      <c r="H26" s="22" t="s">
        <v>74</v>
      </c>
      <c r="I26" s="24" t="s">
        <v>75</v>
      </c>
      <c r="J26" s="26">
        <v>42</v>
      </c>
      <c r="K26" s="26">
        <v>33.54</v>
      </c>
      <c r="L26" s="26">
        <v>8.4600000000000009</v>
      </c>
      <c r="N26" s="35"/>
      <c r="O26" s="35"/>
    </row>
    <row r="27" spans="1:15" ht="22.5" x14ac:dyDescent="0.2">
      <c r="A27" s="20">
        <v>261</v>
      </c>
      <c r="B27" s="21">
        <v>483</v>
      </c>
      <c r="C27" s="22" t="s">
        <v>170</v>
      </c>
      <c r="D27" s="23">
        <v>68557362</v>
      </c>
      <c r="E27" s="24" t="s">
        <v>171</v>
      </c>
      <c r="F27" s="25">
        <v>45931</v>
      </c>
      <c r="G27" s="24">
        <v>3074085</v>
      </c>
      <c r="H27" s="22" t="s">
        <v>74</v>
      </c>
      <c r="I27" s="24" t="s">
        <v>75</v>
      </c>
      <c r="J27" s="26">
        <v>42</v>
      </c>
      <c r="K27" s="26">
        <v>33.54</v>
      </c>
      <c r="L27" s="26">
        <v>8.4600000000000009</v>
      </c>
      <c r="N27" s="35"/>
      <c r="O27" s="35"/>
    </row>
    <row r="28" spans="1:15" ht="22.5" x14ac:dyDescent="0.2">
      <c r="A28" s="20">
        <v>262</v>
      </c>
      <c r="B28" s="21">
        <v>483</v>
      </c>
      <c r="C28" s="22" t="s">
        <v>170</v>
      </c>
      <c r="D28" s="23">
        <v>68557362</v>
      </c>
      <c r="E28" s="24" t="s">
        <v>171</v>
      </c>
      <c r="F28" s="25">
        <v>45936</v>
      </c>
      <c r="G28" s="24">
        <v>3074085</v>
      </c>
      <c r="H28" s="22" t="s">
        <v>74</v>
      </c>
      <c r="I28" s="24" t="s">
        <v>75</v>
      </c>
      <c r="J28" s="26">
        <v>42</v>
      </c>
      <c r="K28" s="26">
        <v>33.54</v>
      </c>
      <c r="L28" s="26">
        <v>8.4600000000000009</v>
      </c>
      <c r="N28" s="35"/>
      <c r="O28" s="35"/>
    </row>
    <row r="29" spans="1:15" ht="22.5" x14ac:dyDescent="0.2">
      <c r="A29" s="20">
        <v>263</v>
      </c>
      <c r="B29" s="21">
        <v>483</v>
      </c>
      <c r="C29" s="22" t="s">
        <v>170</v>
      </c>
      <c r="D29" s="23">
        <v>68557362</v>
      </c>
      <c r="E29" s="24" t="s">
        <v>171</v>
      </c>
      <c r="F29" s="25">
        <v>45917</v>
      </c>
      <c r="G29" s="24">
        <v>3088119</v>
      </c>
      <c r="H29" s="22" t="s">
        <v>104</v>
      </c>
      <c r="I29" s="24" t="s">
        <v>105</v>
      </c>
      <c r="J29" s="26">
        <v>47</v>
      </c>
      <c r="K29" s="26">
        <v>42.56</v>
      </c>
      <c r="L29" s="26">
        <v>4.4400000000000004</v>
      </c>
      <c r="N29" s="35"/>
      <c r="O29" s="35"/>
    </row>
    <row r="30" spans="1:15" ht="22.5" x14ac:dyDescent="0.2">
      <c r="A30" s="20">
        <v>264</v>
      </c>
      <c r="B30" s="21">
        <v>483</v>
      </c>
      <c r="C30" s="22" t="s">
        <v>170</v>
      </c>
      <c r="D30" s="23">
        <v>68557362</v>
      </c>
      <c r="E30" s="24" t="s">
        <v>171</v>
      </c>
      <c r="F30" s="25">
        <v>45936</v>
      </c>
      <c r="G30" s="24">
        <v>3088119</v>
      </c>
      <c r="H30" s="22" t="s">
        <v>104</v>
      </c>
      <c r="I30" s="24" t="s">
        <v>105</v>
      </c>
      <c r="J30" s="26">
        <v>47</v>
      </c>
      <c r="K30" s="26">
        <v>42.56</v>
      </c>
      <c r="L30" s="26">
        <v>4.4400000000000004</v>
      </c>
      <c r="N30" s="35"/>
      <c r="O30" s="35"/>
    </row>
    <row r="31" spans="1:15" ht="22.5" x14ac:dyDescent="0.2">
      <c r="A31" s="20">
        <v>265</v>
      </c>
      <c r="B31" s="21">
        <v>483</v>
      </c>
      <c r="C31" s="22" t="s">
        <v>170</v>
      </c>
      <c r="D31" s="23">
        <v>68557362</v>
      </c>
      <c r="E31" s="24" t="s">
        <v>171</v>
      </c>
      <c r="F31" s="25">
        <v>45917</v>
      </c>
      <c r="G31" s="24">
        <v>9402736</v>
      </c>
      <c r="H31" s="22" t="s">
        <v>172</v>
      </c>
      <c r="I31" s="24" t="s">
        <v>173</v>
      </c>
      <c r="J31" s="26">
        <v>276</v>
      </c>
      <c r="K31" s="26">
        <v>182.49</v>
      </c>
      <c r="L31" s="26">
        <v>93.51</v>
      </c>
      <c r="N31" s="35"/>
      <c r="O31" s="35"/>
    </row>
    <row r="32" spans="1:15" ht="22.5" x14ac:dyDescent="0.2">
      <c r="A32" s="20">
        <v>266</v>
      </c>
      <c r="B32" s="21">
        <v>483</v>
      </c>
      <c r="C32" s="22" t="s">
        <v>170</v>
      </c>
      <c r="D32" s="23">
        <v>68844471</v>
      </c>
      <c r="E32" s="24" t="s">
        <v>171</v>
      </c>
      <c r="F32" s="25">
        <v>45958</v>
      </c>
      <c r="G32" s="24">
        <v>3074085</v>
      </c>
      <c r="H32" s="22" t="s">
        <v>74</v>
      </c>
      <c r="I32" s="24" t="s">
        <v>75</v>
      </c>
      <c r="J32" s="26">
        <v>42</v>
      </c>
      <c r="K32" s="26">
        <v>33.54</v>
      </c>
      <c r="L32" s="26">
        <v>8.4600000000000009</v>
      </c>
      <c r="N32" s="35"/>
      <c r="O32" s="35"/>
    </row>
    <row r="33" spans="1:15" ht="22.5" x14ac:dyDescent="0.2">
      <c r="A33" s="20">
        <v>267</v>
      </c>
      <c r="B33" s="21">
        <v>483</v>
      </c>
      <c r="C33" s="22" t="s">
        <v>170</v>
      </c>
      <c r="D33" s="23">
        <v>68844471</v>
      </c>
      <c r="E33" s="24" t="s">
        <v>171</v>
      </c>
      <c r="F33" s="25">
        <v>45959</v>
      </c>
      <c r="G33" s="24">
        <v>3088119</v>
      </c>
      <c r="H33" s="22" t="s">
        <v>104</v>
      </c>
      <c r="I33" s="24" t="s">
        <v>105</v>
      </c>
      <c r="J33" s="26">
        <v>47</v>
      </c>
      <c r="K33" s="26">
        <v>42.56</v>
      </c>
      <c r="L33" s="26">
        <v>4.4400000000000004</v>
      </c>
      <c r="N33" s="35"/>
      <c r="O33" s="35"/>
    </row>
    <row r="34" spans="1:15" x14ac:dyDescent="0.2">
      <c r="B34" s="11"/>
      <c r="C34" s="27"/>
      <c r="D34" s="28"/>
      <c r="E34" s="11"/>
      <c r="F34" s="11"/>
      <c r="G34" s="11"/>
      <c r="H34" s="29"/>
      <c r="I34" s="29"/>
      <c r="J34" s="29"/>
      <c r="K34" s="34"/>
      <c r="L34" s="12"/>
    </row>
    <row r="35" spans="1:15" x14ac:dyDescent="0.2">
      <c r="B35" s="11"/>
      <c r="C35" s="27"/>
      <c r="D35" s="28"/>
      <c r="E35" s="14"/>
      <c r="F35" s="14"/>
      <c r="G35" s="14"/>
      <c r="H35" s="14"/>
      <c r="I35" s="29"/>
      <c r="J35" s="29"/>
      <c r="K35" s="12"/>
      <c r="L35" s="12"/>
    </row>
    <row r="36" spans="1:15" x14ac:dyDescent="0.2">
      <c r="B36" s="11"/>
      <c r="C36" s="27"/>
      <c r="D36" s="28"/>
      <c r="E36" s="11"/>
      <c r="F36" s="12"/>
      <c r="G36" s="12"/>
      <c r="H36" s="12"/>
      <c r="I36" s="29"/>
      <c r="J36" s="29"/>
      <c r="K36" s="12"/>
      <c r="L36" s="12"/>
    </row>
    <row r="37" spans="1:15" ht="13.5" thickBot="1" x14ac:dyDescent="0.25">
      <c r="B37" s="11"/>
      <c r="C37" s="27"/>
      <c r="D37" s="12" t="s">
        <v>46</v>
      </c>
      <c r="E37" s="30"/>
      <c r="F37" s="30"/>
      <c r="G37" s="30"/>
      <c r="H37" s="31"/>
      <c r="I37" s="12"/>
      <c r="J37" s="29"/>
      <c r="K37" s="12"/>
      <c r="L37" s="32">
        <v>149.13000000000002</v>
      </c>
    </row>
    <row r="38" spans="1:15" ht="13.5" thickTop="1" x14ac:dyDescent="0.2">
      <c r="B38" s="11"/>
      <c r="C38" s="27"/>
      <c r="D38" s="33"/>
      <c r="E38" s="30"/>
      <c r="F38" s="30"/>
      <c r="G38" s="30"/>
      <c r="H38" s="31"/>
      <c r="I38" s="12"/>
      <c r="J38" s="29"/>
      <c r="K38" s="12"/>
      <c r="L38" s="34"/>
    </row>
    <row r="42" spans="1:15" ht="59.65" customHeight="1" x14ac:dyDescent="0.25">
      <c r="C42"/>
      <c r="D42"/>
      <c r="E42"/>
      <c r="F42"/>
      <c r="G42"/>
      <c r="H42"/>
      <c r="I42"/>
      <c r="J42"/>
      <c r="K42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741A40E1-ED5D-4E4D-9B76-459583DD36C6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3F0E-D335-4338-9EE8-AE01645FE64A}">
  <sheetPr>
    <tabColor rgb="FFFFFF00"/>
    <pageSetUpPr fitToPage="1"/>
  </sheetPr>
  <dimension ref="A1:L39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3.140625" style="2" customWidth="1"/>
    <col min="3" max="3" width="12.85546875" style="2" customWidth="1"/>
    <col min="4" max="4" width="13" style="2" customWidth="1"/>
    <col min="5" max="5" width="16.5703125" style="2" customWidth="1"/>
    <col min="6" max="7" width="11.42578125" style="2" customWidth="1"/>
    <col min="8" max="8" width="8.85546875" style="2"/>
    <col min="9" max="9" width="19.7109375" style="2" customWidth="1"/>
    <col min="10" max="10" width="10.42578125" style="2" customWidth="1"/>
    <col min="11" max="11" width="11.7109375" style="2" customWidth="1"/>
    <col min="12" max="12" width="9.710937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174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175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6</v>
      </c>
      <c r="B20" s="12" t="s">
        <v>21</v>
      </c>
      <c r="C20" s="13">
        <v>2101341520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4257210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x14ac:dyDescent="0.2">
      <c r="A25" s="20">
        <v>346</v>
      </c>
      <c r="B25" s="21">
        <v>483</v>
      </c>
      <c r="C25" s="22" t="s">
        <v>176</v>
      </c>
      <c r="D25" s="23">
        <v>68696194</v>
      </c>
      <c r="E25" s="24" t="s">
        <v>177</v>
      </c>
      <c r="F25" s="25">
        <v>45939</v>
      </c>
      <c r="G25" s="24">
        <v>3062650</v>
      </c>
      <c r="H25" s="22" t="s">
        <v>84</v>
      </c>
      <c r="I25" s="24" t="s">
        <v>85</v>
      </c>
      <c r="J25" s="26">
        <v>20</v>
      </c>
      <c r="K25" s="26">
        <v>10.93</v>
      </c>
      <c r="L25" s="26">
        <v>9.07</v>
      </c>
    </row>
    <row r="26" spans="1:12" ht="22.5" x14ac:dyDescent="0.2">
      <c r="A26" s="20">
        <v>347</v>
      </c>
      <c r="B26" s="21">
        <v>483</v>
      </c>
      <c r="C26" s="22" t="s">
        <v>176</v>
      </c>
      <c r="D26" s="23">
        <v>68696194</v>
      </c>
      <c r="E26" s="24" t="s">
        <v>177</v>
      </c>
      <c r="F26" s="25">
        <v>45939</v>
      </c>
      <c r="G26" s="24">
        <v>3073061</v>
      </c>
      <c r="H26" s="22" t="s">
        <v>42</v>
      </c>
      <c r="I26" s="24" t="s">
        <v>43</v>
      </c>
      <c r="J26" s="26">
        <v>22</v>
      </c>
      <c r="K26" s="26">
        <v>11.92</v>
      </c>
      <c r="L26" s="26">
        <v>10.08</v>
      </c>
    </row>
    <row r="27" spans="1:12" x14ac:dyDescent="0.2">
      <c r="A27" s="20">
        <v>348</v>
      </c>
      <c r="B27" s="21">
        <v>483</v>
      </c>
      <c r="C27" s="22" t="s">
        <v>176</v>
      </c>
      <c r="D27" s="23">
        <v>68696194</v>
      </c>
      <c r="E27" s="24" t="s">
        <v>177</v>
      </c>
      <c r="F27" s="25">
        <v>45939</v>
      </c>
      <c r="G27" s="24">
        <v>3074176</v>
      </c>
      <c r="H27" s="22" t="s">
        <v>44</v>
      </c>
      <c r="I27" s="24" t="s">
        <v>45</v>
      </c>
      <c r="J27" s="26">
        <v>70</v>
      </c>
      <c r="K27" s="26">
        <v>60.35</v>
      </c>
      <c r="L27" s="26">
        <v>9.65</v>
      </c>
    </row>
    <row r="28" spans="1:12" x14ac:dyDescent="0.2">
      <c r="A28" s="20">
        <v>349</v>
      </c>
      <c r="B28" s="21">
        <v>483</v>
      </c>
      <c r="C28" s="22" t="s">
        <v>178</v>
      </c>
      <c r="D28" s="23">
        <v>68770718</v>
      </c>
      <c r="E28" s="24" t="s">
        <v>179</v>
      </c>
      <c r="F28" s="25">
        <v>45944</v>
      </c>
      <c r="G28" s="24">
        <v>3062650</v>
      </c>
      <c r="H28" s="22" t="s">
        <v>84</v>
      </c>
      <c r="I28" s="24" t="s">
        <v>85</v>
      </c>
      <c r="J28" s="26">
        <v>20</v>
      </c>
      <c r="K28" s="26">
        <v>10.93</v>
      </c>
      <c r="L28" s="26">
        <v>9.07</v>
      </c>
    </row>
    <row r="29" spans="1:12" ht="22.5" x14ac:dyDescent="0.2">
      <c r="A29" s="20">
        <v>350</v>
      </c>
      <c r="B29" s="21">
        <v>483</v>
      </c>
      <c r="C29" s="22" t="s">
        <v>178</v>
      </c>
      <c r="D29" s="23">
        <v>68770718</v>
      </c>
      <c r="E29" s="24" t="s">
        <v>179</v>
      </c>
      <c r="F29" s="25">
        <v>45944</v>
      </c>
      <c r="G29" s="24">
        <v>3073061</v>
      </c>
      <c r="H29" s="22" t="s">
        <v>42</v>
      </c>
      <c r="I29" s="24" t="s">
        <v>43</v>
      </c>
      <c r="J29" s="26">
        <v>22</v>
      </c>
      <c r="K29" s="26">
        <v>11.92</v>
      </c>
      <c r="L29" s="26">
        <v>10.08</v>
      </c>
    </row>
    <row r="30" spans="1:12" x14ac:dyDescent="0.2">
      <c r="A30" s="20">
        <v>351</v>
      </c>
      <c r="B30" s="21">
        <v>483</v>
      </c>
      <c r="C30" s="22" t="s">
        <v>178</v>
      </c>
      <c r="D30" s="23">
        <v>68770718</v>
      </c>
      <c r="E30" s="24" t="s">
        <v>179</v>
      </c>
      <c r="F30" s="25">
        <v>45944</v>
      </c>
      <c r="G30" s="24">
        <v>3074176</v>
      </c>
      <c r="H30" s="22" t="s">
        <v>44</v>
      </c>
      <c r="I30" s="24" t="s">
        <v>45</v>
      </c>
      <c r="J30" s="26">
        <v>70</v>
      </c>
      <c r="K30" s="26">
        <v>60.35</v>
      </c>
      <c r="L30" s="26">
        <v>9.65</v>
      </c>
    </row>
    <row r="31" spans="1:12" x14ac:dyDescent="0.2">
      <c r="B31" s="11"/>
      <c r="C31" s="27"/>
      <c r="D31" s="28"/>
      <c r="E31" s="11"/>
      <c r="F31" s="11"/>
      <c r="G31" s="11"/>
      <c r="H31" s="29"/>
      <c r="I31" s="29"/>
      <c r="J31" s="29"/>
      <c r="K31" s="12"/>
      <c r="L31" s="12"/>
    </row>
    <row r="32" spans="1:12" x14ac:dyDescent="0.2">
      <c r="B32" s="11"/>
      <c r="C32" s="27"/>
      <c r="D32" s="28"/>
      <c r="E32" s="14"/>
      <c r="F32" s="14"/>
      <c r="G32" s="14"/>
      <c r="H32" s="14"/>
      <c r="I32" s="29"/>
      <c r="J32" s="29"/>
      <c r="K32" s="12"/>
      <c r="L32" s="12"/>
    </row>
    <row r="33" spans="2:12" x14ac:dyDescent="0.2">
      <c r="B33" s="11"/>
      <c r="C33" s="27"/>
      <c r="D33" s="28"/>
      <c r="E33" s="11"/>
      <c r="F33" s="12"/>
      <c r="G33" s="12"/>
      <c r="H33" s="12"/>
      <c r="I33" s="29"/>
      <c r="J33" s="29"/>
      <c r="K33" s="12"/>
      <c r="L33" s="12"/>
    </row>
    <row r="34" spans="2:12" ht="13.5" thickBot="1" x14ac:dyDescent="0.25">
      <c r="B34" s="11"/>
      <c r="C34" s="27"/>
      <c r="D34" s="12" t="s">
        <v>46</v>
      </c>
      <c r="E34" s="30"/>
      <c r="F34" s="30"/>
      <c r="G34" s="30"/>
      <c r="H34" s="31"/>
      <c r="I34" s="12"/>
      <c r="J34" s="29"/>
      <c r="K34" s="12"/>
      <c r="L34" s="32">
        <v>57.599999999999994</v>
      </c>
    </row>
    <row r="35" spans="2:12" ht="13.5" thickTop="1" x14ac:dyDescent="0.2">
      <c r="B35" s="11"/>
      <c r="C35" s="27"/>
      <c r="D35" s="33"/>
      <c r="E35" s="30"/>
      <c r="F35" s="30"/>
      <c r="G35" s="30"/>
      <c r="H35" s="31"/>
      <c r="I35" s="12"/>
      <c r="J35" s="29"/>
      <c r="K35" s="12"/>
      <c r="L35" s="34"/>
    </row>
    <row r="39" spans="2:12" ht="59.65" customHeight="1" x14ac:dyDescent="0.25">
      <c r="C39"/>
      <c r="D39"/>
      <c r="E39"/>
      <c r="F39"/>
      <c r="G39"/>
      <c r="H39"/>
      <c r="I39"/>
      <c r="J39"/>
      <c r="K3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6CF066C5-74FD-48CE-806F-1594D1EB3431}">
      <formula1>#REF!</formula1>
    </dataValidation>
  </dataValidations>
  <pageMargins left="0.25" right="0.25" top="0.5" bottom="0.5" header="0.3" footer="0.3"/>
  <pageSetup scale="97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A8DA-E4C2-4EAD-B1FC-93568A2F31F4}">
  <sheetPr>
    <tabColor rgb="FFFFFF00"/>
    <pageSetUpPr fitToPage="1"/>
  </sheetPr>
  <dimension ref="A1:Q57"/>
  <sheetViews>
    <sheetView topLeftCell="B39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5" width="8.85546875" style="2"/>
    <col min="16" max="16" width="10.140625" style="2" customWidth="1"/>
    <col min="17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180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181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24</v>
      </c>
      <c r="B20" s="12" t="s">
        <v>21</v>
      </c>
      <c r="C20" s="13">
        <v>4287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4272350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33.75" x14ac:dyDescent="0.2">
      <c r="A25" s="20">
        <v>120</v>
      </c>
      <c r="B25" s="21">
        <v>483</v>
      </c>
      <c r="C25" s="22" t="s">
        <v>182</v>
      </c>
      <c r="D25" s="23">
        <v>66607003</v>
      </c>
      <c r="E25" s="24" t="s">
        <v>183</v>
      </c>
      <c r="F25" s="25">
        <v>45672</v>
      </c>
      <c r="G25" s="24">
        <v>3062338</v>
      </c>
      <c r="H25" s="22" t="s">
        <v>82</v>
      </c>
      <c r="I25" s="24" t="s">
        <v>83</v>
      </c>
      <c r="J25" s="26">
        <v>166</v>
      </c>
      <c r="K25" s="26">
        <v>111.93</v>
      </c>
      <c r="L25" s="26">
        <v>54.07</v>
      </c>
      <c r="N25" s="35"/>
      <c r="O25" s="35"/>
    </row>
    <row r="26" spans="1:15" ht="22.5" x14ac:dyDescent="0.2">
      <c r="A26" s="20">
        <v>121</v>
      </c>
      <c r="B26" s="21">
        <v>483</v>
      </c>
      <c r="C26" s="22" t="s">
        <v>182</v>
      </c>
      <c r="D26" s="23">
        <v>66607003</v>
      </c>
      <c r="E26" s="24" t="s">
        <v>183</v>
      </c>
      <c r="F26" s="25">
        <v>45679</v>
      </c>
      <c r="G26" s="24">
        <v>3063641</v>
      </c>
      <c r="H26" s="22" t="s">
        <v>72</v>
      </c>
      <c r="I26" s="24" t="s">
        <v>73</v>
      </c>
      <c r="J26" s="26">
        <v>475</v>
      </c>
      <c r="K26" s="26">
        <v>460.22</v>
      </c>
      <c r="L26" s="26">
        <v>14.78</v>
      </c>
      <c r="N26" s="35"/>
      <c r="O26" s="35"/>
    </row>
    <row r="27" spans="1:15" ht="22.5" x14ac:dyDescent="0.2">
      <c r="A27" s="20">
        <v>122</v>
      </c>
      <c r="B27" s="21">
        <v>483</v>
      </c>
      <c r="C27" s="22" t="s">
        <v>182</v>
      </c>
      <c r="D27" s="23">
        <v>66607003</v>
      </c>
      <c r="E27" s="24" t="s">
        <v>183</v>
      </c>
      <c r="F27" s="25">
        <v>45672</v>
      </c>
      <c r="G27" s="24">
        <v>3076148</v>
      </c>
      <c r="H27" s="22" t="s">
        <v>184</v>
      </c>
      <c r="I27" s="24" t="s">
        <v>185</v>
      </c>
      <c r="J27" s="26">
        <v>111</v>
      </c>
      <c r="K27" s="26">
        <v>73.39</v>
      </c>
      <c r="L27" s="26">
        <v>37.61</v>
      </c>
      <c r="N27" s="35"/>
      <c r="O27" s="35"/>
    </row>
    <row r="28" spans="1:15" ht="33.75" x14ac:dyDescent="0.2">
      <c r="A28" s="20">
        <v>123</v>
      </c>
      <c r="B28" s="21">
        <v>483</v>
      </c>
      <c r="C28" s="22" t="s">
        <v>186</v>
      </c>
      <c r="D28" s="23">
        <v>68688027</v>
      </c>
      <c r="E28" s="24" t="s">
        <v>187</v>
      </c>
      <c r="F28" s="25">
        <v>45938</v>
      </c>
      <c r="G28" s="24">
        <v>3062338</v>
      </c>
      <c r="H28" s="22" t="s">
        <v>82</v>
      </c>
      <c r="I28" s="24" t="s">
        <v>83</v>
      </c>
      <c r="J28" s="26">
        <v>116</v>
      </c>
      <c r="K28" s="26">
        <v>61.93</v>
      </c>
      <c r="L28" s="26">
        <v>54.07</v>
      </c>
      <c r="N28" s="35"/>
      <c r="O28" s="35"/>
    </row>
    <row r="29" spans="1:15" ht="22.5" x14ac:dyDescent="0.2">
      <c r="A29" s="20">
        <v>124</v>
      </c>
      <c r="B29" s="21">
        <v>483</v>
      </c>
      <c r="C29" s="22" t="s">
        <v>186</v>
      </c>
      <c r="D29" s="23">
        <v>68688027</v>
      </c>
      <c r="E29" s="24" t="s">
        <v>187</v>
      </c>
      <c r="F29" s="25">
        <v>45938</v>
      </c>
      <c r="G29" s="24">
        <v>3028669</v>
      </c>
      <c r="H29" s="22" t="s">
        <v>188</v>
      </c>
      <c r="I29" s="24" t="s">
        <v>189</v>
      </c>
      <c r="J29" s="26">
        <v>84</v>
      </c>
      <c r="K29" s="26">
        <v>44.88</v>
      </c>
      <c r="L29" s="26">
        <v>39.119999999999997</v>
      </c>
      <c r="N29" s="35"/>
      <c r="O29" s="35"/>
    </row>
    <row r="30" spans="1:15" ht="22.5" x14ac:dyDescent="0.2">
      <c r="A30" s="20">
        <v>125</v>
      </c>
      <c r="B30" s="21">
        <v>483</v>
      </c>
      <c r="C30" s="22" t="s">
        <v>186</v>
      </c>
      <c r="D30" s="23">
        <v>68688027</v>
      </c>
      <c r="E30" s="24" t="s">
        <v>187</v>
      </c>
      <c r="F30" s="25">
        <v>45938</v>
      </c>
      <c r="G30" s="24">
        <v>3062650</v>
      </c>
      <c r="H30" s="22" t="s">
        <v>84</v>
      </c>
      <c r="I30" s="24" t="s">
        <v>85</v>
      </c>
      <c r="J30" s="26">
        <v>20</v>
      </c>
      <c r="K30" s="26">
        <v>10.93</v>
      </c>
      <c r="L30" s="26">
        <v>9.07</v>
      </c>
      <c r="N30" s="35"/>
      <c r="O30" s="35"/>
    </row>
    <row r="31" spans="1:15" ht="22.5" x14ac:dyDescent="0.2">
      <c r="A31" s="20">
        <v>126</v>
      </c>
      <c r="B31" s="21">
        <v>483</v>
      </c>
      <c r="C31" s="22" t="s">
        <v>186</v>
      </c>
      <c r="D31" s="23">
        <v>68688027</v>
      </c>
      <c r="E31" s="24" t="s">
        <v>187</v>
      </c>
      <c r="F31" s="25">
        <v>45938</v>
      </c>
      <c r="G31" s="24">
        <v>3063419</v>
      </c>
      <c r="H31" s="22" t="s">
        <v>190</v>
      </c>
      <c r="I31" s="24" t="s">
        <v>191</v>
      </c>
      <c r="J31" s="26">
        <v>55</v>
      </c>
      <c r="K31" s="26">
        <v>48.91</v>
      </c>
      <c r="L31" s="26">
        <v>6.09</v>
      </c>
      <c r="N31" s="35"/>
      <c r="O31" s="35"/>
    </row>
    <row r="32" spans="1:15" ht="22.5" x14ac:dyDescent="0.2">
      <c r="A32" s="20">
        <v>127</v>
      </c>
      <c r="B32" s="21">
        <v>483</v>
      </c>
      <c r="C32" s="22" t="s">
        <v>186</v>
      </c>
      <c r="D32" s="23">
        <v>68688027</v>
      </c>
      <c r="E32" s="24" t="s">
        <v>187</v>
      </c>
      <c r="F32" s="25">
        <v>45938</v>
      </c>
      <c r="G32" s="24">
        <v>3064904</v>
      </c>
      <c r="H32" s="22" t="s">
        <v>192</v>
      </c>
      <c r="I32" s="24" t="s">
        <v>193</v>
      </c>
      <c r="J32" s="26">
        <v>56</v>
      </c>
      <c r="K32" s="26">
        <v>29.99</v>
      </c>
      <c r="L32" s="26">
        <v>26.01</v>
      </c>
      <c r="N32" s="35"/>
      <c r="O32" s="35"/>
    </row>
    <row r="33" spans="1:15" ht="22.5" x14ac:dyDescent="0.2">
      <c r="A33" s="20">
        <v>128</v>
      </c>
      <c r="B33" s="21">
        <v>483</v>
      </c>
      <c r="C33" s="22" t="s">
        <v>186</v>
      </c>
      <c r="D33" s="23">
        <v>68688027</v>
      </c>
      <c r="E33" s="24" t="s">
        <v>187</v>
      </c>
      <c r="F33" s="25">
        <v>45938</v>
      </c>
      <c r="G33" s="24">
        <v>3073061</v>
      </c>
      <c r="H33" s="22" t="s">
        <v>42</v>
      </c>
      <c r="I33" s="24" t="s">
        <v>43</v>
      </c>
      <c r="J33" s="26">
        <v>22</v>
      </c>
      <c r="K33" s="26">
        <v>11.92</v>
      </c>
      <c r="L33" s="26">
        <v>10.08</v>
      </c>
      <c r="N33" s="35"/>
      <c r="O33" s="35"/>
    </row>
    <row r="34" spans="1:15" ht="22.5" x14ac:dyDescent="0.2">
      <c r="A34" s="20">
        <v>129</v>
      </c>
      <c r="B34" s="21">
        <v>483</v>
      </c>
      <c r="C34" s="22" t="s">
        <v>186</v>
      </c>
      <c r="D34" s="23">
        <v>68688027</v>
      </c>
      <c r="E34" s="24" t="s">
        <v>187</v>
      </c>
      <c r="F34" s="25">
        <v>45938</v>
      </c>
      <c r="G34" s="24">
        <v>3073251</v>
      </c>
      <c r="H34" s="22" t="s">
        <v>194</v>
      </c>
      <c r="I34" s="24" t="s">
        <v>195</v>
      </c>
      <c r="J34" s="26">
        <v>51</v>
      </c>
      <c r="K34" s="26">
        <v>33.72</v>
      </c>
      <c r="L34" s="26">
        <v>17.28</v>
      </c>
      <c r="N34" s="35"/>
      <c r="O34" s="35"/>
    </row>
    <row r="35" spans="1:15" ht="22.5" x14ac:dyDescent="0.2">
      <c r="A35" s="20">
        <v>130</v>
      </c>
      <c r="B35" s="21">
        <v>483</v>
      </c>
      <c r="C35" s="22" t="s">
        <v>186</v>
      </c>
      <c r="D35" s="23">
        <v>68688027</v>
      </c>
      <c r="E35" s="24" t="s">
        <v>187</v>
      </c>
      <c r="F35" s="25">
        <v>45938</v>
      </c>
      <c r="G35" s="24">
        <v>3074176</v>
      </c>
      <c r="H35" s="22" t="s">
        <v>44</v>
      </c>
      <c r="I35" s="24" t="s">
        <v>45</v>
      </c>
      <c r="J35" s="26">
        <v>70</v>
      </c>
      <c r="K35" s="26">
        <v>60.35</v>
      </c>
      <c r="L35" s="26">
        <v>9.65</v>
      </c>
      <c r="N35" s="35"/>
      <c r="O35" s="35"/>
    </row>
    <row r="36" spans="1:15" ht="33.75" x14ac:dyDescent="0.2">
      <c r="A36" s="20">
        <v>131</v>
      </c>
      <c r="B36" s="21">
        <v>483</v>
      </c>
      <c r="C36" s="22" t="s">
        <v>186</v>
      </c>
      <c r="D36" s="23">
        <v>68688027</v>
      </c>
      <c r="E36" s="24" t="s">
        <v>187</v>
      </c>
      <c r="F36" s="25">
        <v>45938</v>
      </c>
      <c r="G36" s="24">
        <v>3076486</v>
      </c>
      <c r="H36" s="22" t="s">
        <v>92</v>
      </c>
      <c r="I36" s="24" t="s">
        <v>93</v>
      </c>
      <c r="J36" s="26">
        <v>93</v>
      </c>
      <c r="K36" s="26">
        <v>69.48</v>
      </c>
      <c r="L36" s="26">
        <v>23.52</v>
      </c>
      <c r="N36" s="35"/>
      <c r="O36" s="35"/>
    </row>
    <row r="37" spans="1:15" ht="22.5" x14ac:dyDescent="0.2">
      <c r="A37" s="20">
        <v>132</v>
      </c>
      <c r="B37" s="21">
        <v>483</v>
      </c>
      <c r="C37" s="22" t="s">
        <v>186</v>
      </c>
      <c r="D37" s="23">
        <v>68688027</v>
      </c>
      <c r="E37" s="24" t="s">
        <v>187</v>
      </c>
      <c r="F37" s="25">
        <v>45938</v>
      </c>
      <c r="G37" s="24">
        <v>3088119</v>
      </c>
      <c r="H37" s="22" t="s">
        <v>104</v>
      </c>
      <c r="I37" s="24" t="s">
        <v>105</v>
      </c>
      <c r="J37" s="26">
        <v>47</v>
      </c>
      <c r="K37" s="26">
        <v>42.56</v>
      </c>
      <c r="L37" s="26">
        <v>4.4400000000000004</v>
      </c>
      <c r="N37" s="35"/>
      <c r="O37" s="35"/>
    </row>
    <row r="38" spans="1:15" ht="22.5" x14ac:dyDescent="0.2">
      <c r="A38" s="20">
        <v>133</v>
      </c>
      <c r="B38" s="21">
        <v>483</v>
      </c>
      <c r="C38" s="22" t="s">
        <v>186</v>
      </c>
      <c r="D38" s="23">
        <v>68688027</v>
      </c>
      <c r="E38" s="24" t="s">
        <v>187</v>
      </c>
      <c r="F38" s="25">
        <v>45938</v>
      </c>
      <c r="G38" s="24">
        <v>7301021</v>
      </c>
      <c r="H38" s="22" t="s">
        <v>152</v>
      </c>
      <c r="I38" s="24" t="s">
        <v>153</v>
      </c>
      <c r="J38" s="26">
        <v>189</v>
      </c>
      <c r="K38" s="26">
        <v>124.97</v>
      </c>
      <c r="L38" s="26">
        <v>64.03</v>
      </c>
      <c r="N38" s="35"/>
      <c r="O38" s="35"/>
    </row>
    <row r="39" spans="1:15" ht="33.75" x14ac:dyDescent="0.2">
      <c r="A39" s="20">
        <v>134</v>
      </c>
      <c r="B39" s="21">
        <v>483</v>
      </c>
      <c r="C39" s="22" t="s">
        <v>196</v>
      </c>
      <c r="D39" s="23">
        <v>68734664</v>
      </c>
      <c r="E39" s="24" t="s">
        <v>197</v>
      </c>
      <c r="F39" s="25">
        <v>45950</v>
      </c>
      <c r="G39" s="24">
        <v>3062338</v>
      </c>
      <c r="H39" s="22" t="s">
        <v>82</v>
      </c>
      <c r="I39" s="24" t="s">
        <v>83</v>
      </c>
      <c r="J39" s="26">
        <v>116</v>
      </c>
      <c r="K39" s="26">
        <v>61.93</v>
      </c>
      <c r="L39" s="26">
        <v>54.07</v>
      </c>
      <c r="N39" s="35"/>
      <c r="O39" s="35"/>
    </row>
    <row r="40" spans="1:15" x14ac:dyDescent="0.2">
      <c r="A40" s="20">
        <v>135</v>
      </c>
      <c r="B40" s="21">
        <v>483</v>
      </c>
      <c r="C40" s="22" t="s">
        <v>196</v>
      </c>
      <c r="D40" s="23">
        <v>68734664</v>
      </c>
      <c r="E40" s="24" t="s">
        <v>197</v>
      </c>
      <c r="F40" s="25">
        <v>45950</v>
      </c>
      <c r="G40" s="24">
        <v>3062650</v>
      </c>
      <c r="H40" s="22" t="s">
        <v>84</v>
      </c>
      <c r="I40" s="24" t="s">
        <v>85</v>
      </c>
      <c r="J40" s="26">
        <v>20</v>
      </c>
      <c r="K40" s="26">
        <v>10.93</v>
      </c>
      <c r="L40" s="26">
        <v>9.07</v>
      </c>
      <c r="N40" s="35"/>
      <c r="O40" s="35"/>
    </row>
    <row r="41" spans="1:15" ht="22.5" x14ac:dyDescent="0.2">
      <c r="A41" s="20">
        <v>136</v>
      </c>
      <c r="B41" s="21">
        <v>483</v>
      </c>
      <c r="C41" s="22" t="s">
        <v>196</v>
      </c>
      <c r="D41" s="23">
        <v>68734664</v>
      </c>
      <c r="E41" s="24" t="s">
        <v>197</v>
      </c>
      <c r="F41" s="25">
        <v>45950</v>
      </c>
      <c r="G41" s="24">
        <v>3063419</v>
      </c>
      <c r="H41" s="22" t="s">
        <v>190</v>
      </c>
      <c r="I41" s="24" t="s">
        <v>191</v>
      </c>
      <c r="J41" s="26">
        <v>55</v>
      </c>
      <c r="K41" s="26">
        <v>48.91</v>
      </c>
      <c r="L41" s="26">
        <v>6.09</v>
      </c>
      <c r="N41" s="35"/>
      <c r="O41" s="35"/>
    </row>
    <row r="42" spans="1:15" ht="22.5" x14ac:dyDescent="0.2">
      <c r="A42" s="20">
        <v>137</v>
      </c>
      <c r="B42" s="21">
        <v>483</v>
      </c>
      <c r="C42" s="22" t="s">
        <v>196</v>
      </c>
      <c r="D42" s="23">
        <v>68734664</v>
      </c>
      <c r="E42" s="24" t="s">
        <v>197</v>
      </c>
      <c r="F42" s="25">
        <v>45950</v>
      </c>
      <c r="G42" s="24">
        <v>3073061</v>
      </c>
      <c r="H42" s="22" t="s">
        <v>42</v>
      </c>
      <c r="I42" s="24" t="s">
        <v>43</v>
      </c>
      <c r="J42" s="26">
        <v>22</v>
      </c>
      <c r="K42" s="26">
        <v>11.92</v>
      </c>
      <c r="L42" s="26">
        <v>10.08</v>
      </c>
      <c r="N42" s="35"/>
      <c r="O42" s="35"/>
    </row>
    <row r="43" spans="1:15" ht="22.5" x14ac:dyDescent="0.2">
      <c r="A43" s="20">
        <v>138</v>
      </c>
      <c r="B43" s="21">
        <v>483</v>
      </c>
      <c r="C43" s="22" t="s">
        <v>196</v>
      </c>
      <c r="D43" s="23">
        <v>68734664</v>
      </c>
      <c r="E43" s="24" t="s">
        <v>197</v>
      </c>
      <c r="F43" s="25">
        <v>45950</v>
      </c>
      <c r="G43" s="24">
        <v>3073251</v>
      </c>
      <c r="H43" s="22" t="s">
        <v>194</v>
      </c>
      <c r="I43" s="24" t="s">
        <v>195</v>
      </c>
      <c r="J43" s="26">
        <v>51</v>
      </c>
      <c r="K43" s="26">
        <v>33.72</v>
      </c>
      <c r="L43" s="26">
        <v>17.28</v>
      </c>
      <c r="N43" s="35"/>
      <c r="O43" s="35"/>
    </row>
    <row r="44" spans="1:15" x14ac:dyDescent="0.2">
      <c r="A44" s="20">
        <v>139</v>
      </c>
      <c r="B44" s="21">
        <v>483</v>
      </c>
      <c r="C44" s="22" t="s">
        <v>196</v>
      </c>
      <c r="D44" s="23">
        <v>68734664</v>
      </c>
      <c r="E44" s="24" t="s">
        <v>197</v>
      </c>
      <c r="F44" s="25">
        <v>45950</v>
      </c>
      <c r="G44" s="24">
        <v>3074176</v>
      </c>
      <c r="H44" s="22" t="s">
        <v>44</v>
      </c>
      <c r="I44" s="24" t="s">
        <v>45</v>
      </c>
      <c r="J44" s="26">
        <v>70</v>
      </c>
      <c r="K44" s="26">
        <v>60.35</v>
      </c>
      <c r="L44" s="26">
        <v>9.65</v>
      </c>
      <c r="N44" s="35"/>
      <c r="O44" s="35"/>
    </row>
    <row r="45" spans="1:15" ht="22.5" x14ac:dyDescent="0.2">
      <c r="A45" s="36">
        <v>140</v>
      </c>
      <c r="B45" s="37">
        <v>483</v>
      </c>
      <c r="C45" s="38" t="s">
        <v>196</v>
      </c>
      <c r="D45" s="39">
        <v>68734664</v>
      </c>
      <c r="E45" s="40" t="s">
        <v>197</v>
      </c>
      <c r="F45" s="41">
        <v>45950</v>
      </c>
      <c r="G45" s="40">
        <v>3076148</v>
      </c>
      <c r="H45" s="38" t="s">
        <v>184</v>
      </c>
      <c r="I45" s="40" t="s">
        <v>185</v>
      </c>
      <c r="J45" s="42">
        <v>78</v>
      </c>
      <c r="K45" s="42">
        <v>51.57</v>
      </c>
      <c r="L45" s="42">
        <v>26.43</v>
      </c>
      <c r="N45" s="35"/>
      <c r="O45" s="35"/>
    </row>
    <row r="46" spans="1:15" ht="33.75" x14ac:dyDescent="0.2">
      <c r="A46" s="20">
        <v>141</v>
      </c>
      <c r="B46" s="21">
        <v>483</v>
      </c>
      <c r="C46" s="22" t="s">
        <v>196</v>
      </c>
      <c r="D46" s="23">
        <v>68734664</v>
      </c>
      <c r="E46" s="24" t="s">
        <v>197</v>
      </c>
      <c r="F46" s="25">
        <v>45950</v>
      </c>
      <c r="G46" s="24">
        <v>3076486</v>
      </c>
      <c r="H46" s="22" t="s">
        <v>92</v>
      </c>
      <c r="I46" s="24" t="s">
        <v>93</v>
      </c>
      <c r="J46" s="26">
        <v>93</v>
      </c>
      <c r="K46" s="26">
        <v>69.48</v>
      </c>
      <c r="L46" s="26">
        <v>23.52</v>
      </c>
      <c r="N46" s="35"/>
      <c r="O46" s="35"/>
    </row>
    <row r="47" spans="1:15" ht="22.5" x14ac:dyDescent="0.2">
      <c r="A47" s="20">
        <v>142</v>
      </c>
      <c r="B47" s="21">
        <v>483</v>
      </c>
      <c r="C47" s="22" t="s">
        <v>196</v>
      </c>
      <c r="D47" s="23">
        <v>68734664</v>
      </c>
      <c r="E47" s="24" t="s">
        <v>197</v>
      </c>
      <c r="F47" s="25">
        <v>45950</v>
      </c>
      <c r="G47" s="24">
        <v>3088119</v>
      </c>
      <c r="H47" s="22" t="s">
        <v>104</v>
      </c>
      <c r="I47" s="24" t="s">
        <v>105</v>
      </c>
      <c r="J47" s="26">
        <v>47</v>
      </c>
      <c r="K47" s="26">
        <v>42.56</v>
      </c>
      <c r="L47" s="26">
        <v>4.4400000000000004</v>
      </c>
      <c r="N47" s="35"/>
      <c r="O47" s="35"/>
    </row>
    <row r="48" spans="1:15" ht="22.5" x14ac:dyDescent="0.2">
      <c r="A48" s="20">
        <v>143</v>
      </c>
      <c r="B48" s="21">
        <v>483</v>
      </c>
      <c r="C48" s="22" t="s">
        <v>196</v>
      </c>
      <c r="D48" s="23">
        <v>68734664</v>
      </c>
      <c r="E48" s="24" t="s">
        <v>197</v>
      </c>
      <c r="F48" s="25">
        <v>45950</v>
      </c>
      <c r="G48" s="24">
        <v>7301021</v>
      </c>
      <c r="H48" s="22" t="s">
        <v>152</v>
      </c>
      <c r="I48" s="24" t="s">
        <v>153</v>
      </c>
      <c r="J48" s="26">
        <v>189</v>
      </c>
      <c r="K48" s="26">
        <v>124.97</v>
      </c>
      <c r="L48" s="26">
        <v>64.03</v>
      </c>
      <c r="N48" s="35"/>
      <c r="O48" s="35"/>
    </row>
    <row r="49" spans="2:17" x14ac:dyDescent="0.2">
      <c r="B49" s="11"/>
      <c r="C49" s="27"/>
      <c r="D49" s="28"/>
      <c r="E49" s="11"/>
      <c r="F49" s="11"/>
      <c r="G49" s="11"/>
      <c r="H49" s="29"/>
      <c r="I49" s="29"/>
      <c r="J49" s="29"/>
      <c r="K49" s="34"/>
      <c r="L49" s="12"/>
    </row>
    <row r="50" spans="2:17" x14ac:dyDescent="0.2">
      <c r="B50" s="11"/>
      <c r="C50" s="27"/>
      <c r="D50" s="28"/>
      <c r="E50" s="14"/>
      <c r="F50" s="14"/>
      <c r="G50" s="14"/>
      <c r="H50" s="14"/>
      <c r="I50" s="29"/>
      <c r="J50" s="29"/>
      <c r="K50" s="12"/>
      <c r="L50" s="12"/>
    </row>
    <row r="51" spans="2:17" x14ac:dyDescent="0.2">
      <c r="B51" s="11"/>
      <c r="C51" s="27"/>
      <c r="D51" s="28"/>
      <c r="E51" s="11"/>
      <c r="F51" s="12"/>
      <c r="G51" s="12"/>
      <c r="H51" s="12"/>
      <c r="I51" s="29"/>
      <c r="J51" s="29"/>
      <c r="K51" s="12"/>
      <c r="L51" s="12"/>
    </row>
    <row r="52" spans="2:17" ht="13.5" thickBot="1" x14ac:dyDescent="0.25">
      <c r="B52" s="11"/>
      <c r="C52" s="27"/>
      <c r="D52" s="12" t="s">
        <v>46</v>
      </c>
      <c r="E52" s="30"/>
      <c r="F52" s="30"/>
      <c r="G52" s="30"/>
      <c r="H52" s="31"/>
      <c r="I52" s="12"/>
      <c r="J52" s="29"/>
      <c r="K52" s="12"/>
      <c r="L52" s="43">
        <v>594.4799999999999</v>
      </c>
      <c r="N52" s="2" t="s">
        <v>198</v>
      </c>
      <c r="Q52" s="44">
        <f>SUM(L25:L44,L46:L48)</f>
        <v>568.04999999999984</v>
      </c>
    </row>
    <row r="53" spans="2:17" ht="13.5" thickTop="1" x14ac:dyDescent="0.2">
      <c r="B53" s="11"/>
      <c r="C53" s="27"/>
      <c r="D53" s="33"/>
      <c r="E53" s="30"/>
      <c r="F53" s="30"/>
      <c r="G53" s="30"/>
      <c r="H53" s="31"/>
      <c r="I53" s="12"/>
      <c r="J53" s="29"/>
      <c r="K53" s="12"/>
      <c r="L53" s="34"/>
    </row>
    <row r="57" spans="2:17" ht="59.65" customHeight="1" x14ac:dyDescent="0.25">
      <c r="C57"/>
      <c r="D57"/>
      <c r="E57"/>
      <c r="F57"/>
      <c r="G57"/>
      <c r="H57"/>
      <c r="I57"/>
      <c r="J57"/>
      <c r="K5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A7069BC4-0C81-41A5-8A95-DE9AFB5BD590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5176-485D-458B-B958-206F368257A3}">
  <sheetPr>
    <tabColor rgb="FFFFFF00"/>
    <pageSetUpPr fitToPage="1"/>
  </sheetPr>
  <dimension ref="A1:L34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3.28515625" style="2" customWidth="1"/>
    <col min="3" max="3" width="15" style="2" customWidth="1"/>
    <col min="4" max="4" width="11.28515625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28515625" style="2" bestFit="1" customWidth="1"/>
    <col min="11" max="11" width="11.140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199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200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1</v>
      </c>
      <c r="B20" s="12" t="s">
        <v>21</v>
      </c>
      <c r="C20" s="13">
        <v>2120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4265090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ht="22.5" x14ac:dyDescent="0.2">
      <c r="A25" s="20">
        <v>61</v>
      </c>
      <c r="B25" s="21">
        <v>483</v>
      </c>
      <c r="C25" s="22" t="s">
        <v>201</v>
      </c>
      <c r="D25" s="23">
        <v>68843671</v>
      </c>
      <c r="E25" s="24" t="s">
        <v>202</v>
      </c>
      <c r="F25" s="25">
        <v>45959</v>
      </c>
      <c r="G25" s="24">
        <v>3073061</v>
      </c>
      <c r="H25" s="22" t="s">
        <v>42</v>
      </c>
      <c r="I25" s="24" t="s">
        <v>43</v>
      </c>
      <c r="J25" s="26">
        <v>22</v>
      </c>
      <c r="K25" s="26">
        <v>14.8</v>
      </c>
      <c r="L25" s="26">
        <v>7.2</v>
      </c>
    </row>
    <row r="26" spans="1:12" x14ac:dyDescent="0.2">
      <c r="B26" s="11"/>
      <c r="C26" s="27"/>
      <c r="D26" s="28"/>
      <c r="E26" s="11"/>
      <c r="F26" s="11"/>
      <c r="G26" s="11"/>
      <c r="H26" s="29"/>
      <c r="I26" s="29"/>
      <c r="J26" s="29"/>
      <c r="K26" s="12"/>
      <c r="L26" s="12"/>
    </row>
    <row r="27" spans="1:12" x14ac:dyDescent="0.2">
      <c r="B27" s="11"/>
      <c r="C27" s="27"/>
      <c r="D27" s="28"/>
      <c r="E27" s="14"/>
      <c r="F27" s="14"/>
      <c r="G27" s="14"/>
      <c r="H27" s="14"/>
      <c r="I27" s="29"/>
      <c r="J27" s="29"/>
      <c r="K27" s="12"/>
      <c r="L27" s="12"/>
    </row>
    <row r="28" spans="1:12" x14ac:dyDescent="0.2">
      <c r="B28" s="11"/>
      <c r="C28" s="27"/>
      <c r="D28" s="28"/>
      <c r="E28" s="11"/>
      <c r="F28" s="12"/>
      <c r="G28" s="12"/>
      <c r="H28" s="12"/>
      <c r="I28" s="29"/>
      <c r="J28" s="29"/>
      <c r="K28" s="12"/>
      <c r="L28" s="12"/>
    </row>
    <row r="29" spans="1:12" ht="13.5" thickBot="1" x14ac:dyDescent="0.25">
      <c r="B29" s="11"/>
      <c r="C29" s="27"/>
      <c r="D29" s="12" t="s">
        <v>46</v>
      </c>
      <c r="E29" s="30"/>
      <c r="F29" s="30"/>
      <c r="G29" s="30"/>
      <c r="H29" s="31"/>
      <c r="I29" s="12"/>
      <c r="J29" s="29"/>
      <c r="K29" s="12"/>
      <c r="L29" s="32">
        <v>7.2</v>
      </c>
    </row>
    <row r="30" spans="1:12" ht="13.5" thickTop="1" x14ac:dyDescent="0.2">
      <c r="B30" s="11"/>
      <c r="C30" s="27"/>
      <c r="D30" s="33"/>
      <c r="E30" s="30"/>
      <c r="F30" s="30"/>
      <c r="G30" s="30"/>
      <c r="H30" s="31"/>
      <c r="I30" s="12"/>
      <c r="J30" s="29"/>
      <c r="K30" s="12"/>
      <c r="L30" s="34"/>
    </row>
    <row r="34" spans="3:11" ht="59.65" customHeight="1" x14ac:dyDescent="0.25">
      <c r="C34"/>
      <c r="D34"/>
      <c r="E34"/>
      <c r="F34"/>
      <c r="G34"/>
      <c r="H34"/>
      <c r="I34"/>
      <c r="J34"/>
      <c r="K34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7AFBF716-DC10-49A1-9CC0-657542275342}">
      <formula1>#REF!</formula1>
    </dataValidation>
  </dataValidations>
  <pageMargins left="0.25" right="0.25" top="0.5" bottom="0.5" header="0.3" footer="0.3"/>
  <pageSetup scale="97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1798-5246-40AC-A48A-14DCC2CF6F57}">
  <sheetPr>
    <tabColor rgb="FFFFFF00"/>
    <pageSetUpPr fitToPage="1"/>
  </sheetPr>
  <dimension ref="A1:L39"/>
  <sheetViews>
    <sheetView topLeftCell="B20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2.85546875" style="2" customWidth="1"/>
    <col min="3" max="3" width="14.42578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28515625" style="2" bestFit="1" customWidth="1"/>
    <col min="11" max="11" width="11.7109375" style="2" customWidth="1"/>
    <col min="12" max="12" width="9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203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204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6</v>
      </c>
      <c r="B20" s="12" t="s">
        <v>21</v>
      </c>
      <c r="C20" s="13">
        <v>4524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4278790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x14ac:dyDescent="0.2">
      <c r="A25" s="20">
        <v>153</v>
      </c>
      <c r="B25" s="21">
        <v>483</v>
      </c>
      <c r="C25" s="22" t="s">
        <v>205</v>
      </c>
      <c r="D25" s="23">
        <v>68810993</v>
      </c>
      <c r="E25" s="24" t="s">
        <v>206</v>
      </c>
      <c r="F25" s="25">
        <v>45954</v>
      </c>
      <c r="G25" s="24">
        <v>3062650</v>
      </c>
      <c r="H25" s="22" t="s">
        <v>84</v>
      </c>
      <c r="I25" s="24" t="s">
        <v>85</v>
      </c>
      <c r="J25" s="26">
        <v>20</v>
      </c>
      <c r="K25" s="26">
        <v>10.93</v>
      </c>
      <c r="L25" s="26">
        <v>9.07</v>
      </c>
    </row>
    <row r="26" spans="1:12" x14ac:dyDescent="0.2">
      <c r="A26" s="20">
        <v>154</v>
      </c>
      <c r="B26" s="21">
        <v>483</v>
      </c>
      <c r="C26" s="22" t="s">
        <v>205</v>
      </c>
      <c r="D26" s="23">
        <v>68810993</v>
      </c>
      <c r="E26" s="24" t="s">
        <v>206</v>
      </c>
      <c r="F26" s="25">
        <v>45954</v>
      </c>
      <c r="G26" s="24">
        <v>3074176</v>
      </c>
      <c r="H26" s="22" t="s">
        <v>44</v>
      </c>
      <c r="I26" s="24" t="s">
        <v>45</v>
      </c>
      <c r="J26" s="26">
        <v>70</v>
      </c>
      <c r="K26" s="26">
        <v>60.35</v>
      </c>
      <c r="L26" s="26">
        <v>9.65</v>
      </c>
    </row>
    <row r="27" spans="1:12" ht="22.5" x14ac:dyDescent="0.2">
      <c r="A27" s="20">
        <v>155</v>
      </c>
      <c r="B27" s="21">
        <v>483</v>
      </c>
      <c r="C27" s="22" t="s">
        <v>205</v>
      </c>
      <c r="D27" s="23">
        <v>68810993</v>
      </c>
      <c r="E27" s="24" t="s">
        <v>206</v>
      </c>
      <c r="F27" s="25">
        <v>45954</v>
      </c>
      <c r="G27" s="24">
        <v>3076254</v>
      </c>
      <c r="H27" s="22" t="s">
        <v>141</v>
      </c>
      <c r="I27" s="24" t="s">
        <v>142</v>
      </c>
      <c r="J27" s="26">
        <v>70</v>
      </c>
      <c r="K27" s="26">
        <v>57.37</v>
      </c>
      <c r="L27" s="26">
        <v>12.63</v>
      </c>
    </row>
    <row r="28" spans="1:12" ht="33.75" x14ac:dyDescent="0.2">
      <c r="A28" s="20">
        <v>156</v>
      </c>
      <c r="B28" s="21">
        <v>483</v>
      </c>
      <c r="C28" s="22" t="s">
        <v>205</v>
      </c>
      <c r="D28" s="23">
        <v>68810993</v>
      </c>
      <c r="E28" s="24" t="s">
        <v>206</v>
      </c>
      <c r="F28" s="25">
        <v>45954</v>
      </c>
      <c r="G28" s="24">
        <v>3076486</v>
      </c>
      <c r="H28" s="22" t="s">
        <v>92</v>
      </c>
      <c r="I28" s="24" t="s">
        <v>93</v>
      </c>
      <c r="J28" s="26">
        <v>93</v>
      </c>
      <c r="K28" s="26">
        <v>69.48</v>
      </c>
      <c r="L28" s="26">
        <v>23.52</v>
      </c>
    </row>
    <row r="29" spans="1:12" ht="22.5" x14ac:dyDescent="0.2">
      <c r="A29" s="20">
        <v>157</v>
      </c>
      <c r="B29" s="21">
        <v>483</v>
      </c>
      <c r="C29" s="22" t="s">
        <v>205</v>
      </c>
      <c r="D29" s="23">
        <v>68810993</v>
      </c>
      <c r="E29" s="24" t="s">
        <v>206</v>
      </c>
      <c r="F29" s="25">
        <v>45954</v>
      </c>
      <c r="G29" s="24">
        <v>7301021</v>
      </c>
      <c r="H29" s="22" t="s">
        <v>152</v>
      </c>
      <c r="I29" s="24" t="s">
        <v>153</v>
      </c>
      <c r="J29" s="26">
        <v>189</v>
      </c>
      <c r="K29" s="26">
        <v>124.97</v>
      </c>
      <c r="L29" s="26">
        <v>64.03</v>
      </c>
    </row>
    <row r="30" spans="1:12" ht="22.5" x14ac:dyDescent="0.2">
      <c r="A30" s="20">
        <v>158</v>
      </c>
      <c r="B30" s="21">
        <v>483</v>
      </c>
      <c r="C30" s="22" t="s">
        <v>205</v>
      </c>
      <c r="D30" s="23">
        <v>68810993</v>
      </c>
      <c r="E30" s="24" t="s">
        <v>206</v>
      </c>
      <c r="F30" s="25">
        <v>45954</v>
      </c>
      <c r="G30" s="24">
        <v>7301021</v>
      </c>
      <c r="H30" s="22" t="s">
        <v>152</v>
      </c>
      <c r="I30" s="24" t="s">
        <v>153</v>
      </c>
      <c r="J30" s="26">
        <v>189</v>
      </c>
      <c r="K30" s="26">
        <v>124.97</v>
      </c>
      <c r="L30" s="26">
        <v>64.03</v>
      </c>
    </row>
    <row r="31" spans="1:12" ht="17.100000000000001" customHeight="1" x14ac:dyDescent="0.2">
      <c r="B31" s="11"/>
      <c r="C31" s="27"/>
      <c r="D31" s="28"/>
      <c r="E31" s="11"/>
      <c r="F31" s="11"/>
      <c r="G31" s="11"/>
      <c r="H31" s="29"/>
      <c r="I31" s="29"/>
      <c r="J31" s="29"/>
      <c r="K31" s="12"/>
      <c r="L31" s="12"/>
    </row>
    <row r="32" spans="1:12" x14ac:dyDescent="0.2">
      <c r="B32" s="11"/>
      <c r="C32" s="27"/>
      <c r="D32" s="28"/>
      <c r="E32" s="14"/>
      <c r="F32" s="14"/>
      <c r="G32" s="14"/>
      <c r="H32" s="14"/>
      <c r="I32" s="29"/>
      <c r="J32" s="29"/>
      <c r="K32" s="12"/>
      <c r="L32" s="12"/>
    </row>
    <row r="33" spans="2:12" x14ac:dyDescent="0.2">
      <c r="B33" s="11"/>
      <c r="C33" s="27"/>
      <c r="D33" s="28"/>
      <c r="E33" s="11"/>
      <c r="F33" s="12"/>
      <c r="G33" s="12"/>
      <c r="H33" s="12"/>
      <c r="I33" s="29"/>
      <c r="J33" s="29"/>
      <c r="K33" s="12"/>
      <c r="L33" s="12"/>
    </row>
    <row r="34" spans="2:12" ht="13.5" thickBot="1" x14ac:dyDescent="0.25">
      <c r="B34" s="11"/>
      <c r="C34" s="27"/>
      <c r="D34" s="12" t="s">
        <v>46</v>
      </c>
      <c r="E34" s="30"/>
      <c r="F34" s="30"/>
      <c r="G34" s="30"/>
      <c r="H34" s="31"/>
      <c r="I34" s="12"/>
      <c r="J34" s="29"/>
      <c r="K34" s="12"/>
      <c r="L34" s="32">
        <v>182.93</v>
      </c>
    </row>
    <row r="35" spans="2:12" ht="13.5" thickTop="1" x14ac:dyDescent="0.2">
      <c r="B35" s="11"/>
      <c r="C35" s="27"/>
      <c r="D35" s="33"/>
      <c r="E35" s="30"/>
      <c r="F35" s="30"/>
      <c r="G35" s="30"/>
      <c r="H35" s="31"/>
      <c r="I35" s="12"/>
      <c r="J35" s="29"/>
      <c r="K35" s="12"/>
      <c r="L35" s="34"/>
    </row>
    <row r="39" spans="2:12" ht="59.65" customHeight="1" x14ac:dyDescent="0.25">
      <c r="C39"/>
      <c r="D39"/>
      <c r="E39"/>
      <c r="F39"/>
      <c r="G39"/>
      <c r="H39"/>
      <c r="I39"/>
      <c r="J39"/>
      <c r="K3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35444972-412E-4E26-83B4-ACF7CB575B85}">
      <formula1>#REF!</formula1>
    </dataValidation>
  </dataValidations>
  <pageMargins left="0.25" right="0.25" top="0.5" bottom="0.5" header="0.3" footer="0.3"/>
  <pageSetup scale="95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09D3-5F31-47A7-9213-C938330F31F8}">
  <sheetPr>
    <tabColor rgb="FFFFFF00"/>
    <pageSetUpPr fitToPage="1"/>
  </sheetPr>
  <dimension ref="A1:O55"/>
  <sheetViews>
    <sheetView topLeftCell="B35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207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208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22</v>
      </c>
      <c r="B20" s="12" t="s">
        <v>21</v>
      </c>
      <c r="C20" s="13">
        <v>1903472445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4245920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306</v>
      </c>
      <c r="B25" s="21">
        <v>483</v>
      </c>
      <c r="C25" s="22" t="s">
        <v>209</v>
      </c>
      <c r="D25" s="23">
        <v>68473339</v>
      </c>
      <c r="E25" s="24" t="s">
        <v>210</v>
      </c>
      <c r="F25" s="25">
        <v>45910</v>
      </c>
      <c r="G25" s="24">
        <v>3063641</v>
      </c>
      <c r="H25" s="22" t="s">
        <v>72</v>
      </c>
      <c r="I25" s="24" t="s">
        <v>73</v>
      </c>
      <c r="J25" s="26">
        <v>475</v>
      </c>
      <c r="K25" s="26">
        <v>460.22</v>
      </c>
      <c r="L25" s="26">
        <v>14.78</v>
      </c>
      <c r="N25" s="35"/>
      <c r="O25" s="35"/>
    </row>
    <row r="26" spans="1:15" ht="22.5" x14ac:dyDescent="0.2">
      <c r="A26" s="20">
        <v>307</v>
      </c>
      <c r="B26" s="21">
        <v>483</v>
      </c>
      <c r="C26" s="22" t="s">
        <v>209</v>
      </c>
      <c r="D26" s="23">
        <v>68473339</v>
      </c>
      <c r="E26" s="24" t="s">
        <v>210</v>
      </c>
      <c r="F26" s="25">
        <v>45931</v>
      </c>
      <c r="G26" s="24">
        <v>3063641</v>
      </c>
      <c r="H26" s="22" t="s">
        <v>72</v>
      </c>
      <c r="I26" s="24" t="s">
        <v>73</v>
      </c>
      <c r="J26" s="26">
        <v>475</v>
      </c>
      <c r="K26" s="26">
        <v>460.22</v>
      </c>
      <c r="L26" s="26">
        <v>14.78</v>
      </c>
      <c r="N26" s="35"/>
      <c r="O26" s="35"/>
    </row>
    <row r="27" spans="1:15" x14ac:dyDescent="0.2">
      <c r="A27" s="20">
        <v>308</v>
      </c>
      <c r="B27" s="21">
        <v>483</v>
      </c>
      <c r="C27" s="22" t="s">
        <v>209</v>
      </c>
      <c r="D27" s="23">
        <v>68473339</v>
      </c>
      <c r="E27" s="24" t="s">
        <v>210</v>
      </c>
      <c r="F27" s="25">
        <v>45910</v>
      </c>
      <c r="G27" s="24">
        <v>3074085</v>
      </c>
      <c r="H27" s="22" t="s">
        <v>74</v>
      </c>
      <c r="I27" s="24" t="s">
        <v>75</v>
      </c>
      <c r="J27" s="26">
        <v>42</v>
      </c>
      <c r="K27" s="26">
        <v>33.54</v>
      </c>
      <c r="L27" s="26">
        <v>8.4600000000000009</v>
      </c>
      <c r="N27" s="35"/>
      <c r="O27" s="35"/>
    </row>
    <row r="28" spans="1:15" x14ac:dyDescent="0.2">
      <c r="A28" s="20">
        <v>309</v>
      </c>
      <c r="B28" s="21">
        <v>483</v>
      </c>
      <c r="C28" s="22" t="s">
        <v>209</v>
      </c>
      <c r="D28" s="23">
        <v>68473339</v>
      </c>
      <c r="E28" s="24" t="s">
        <v>210</v>
      </c>
      <c r="F28" s="25">
        <v>45931</v>
      </c>
      <c r="G28" s="24">
        <v>3074085</v>
      </c>
      <c r="H28" s="22" t="s">
        <v>74</v>
      </c>
      <c r="I28" s="24" t="s">
        <v>75</v>
      </c>
      <c r="J28" s="26">
        <v>42</v>
      </c>
      <c r="K28" s="26">
        <v>33.54</v>
      </c>
      <c r="L28" s="26">
        <v>8.4600000000000009</v>
      </c>
      <c r="N28" s="35"/>
      <c r="O28" s="35"/>
    </row>
    <row r="29" spans="1:15" x14ac:dyDescent="0.2">
      <c r="A29" s="20">
        <v>310</v>
      </c>
      <c r="B29" s="21">
        <v>483</v>
      </c>
      <c r="C29" s="22" t="s">
        <v>209</v>
      </c>
      <c r="D29" s="23">
        <v>68473339</v>
      </c>
      <c r="E29" s="24" t="s">
        <v>210</v>
      </c>
      <c r="F29" s="25">
        <v>45910</v>
      </c>
      <c r="G29" s="24">
        <v>3074283</v>
      </c>
      <c r="H29" s="22" t="s">
        <v>122</v>
      </c>
      <c r="I29" s="24" t="s">
        <v>123</v>
      </c>
      <c r="J29" s="26">
        <v>91</v>
      </c>
      <c r="K29" s="26">
        <v>81.62</v>
      </c>
      <c r="L29" s="26">
        <v>9.3800000000000008</v>
      </c>
      <c r="N29" s="35"/>
      <c r="O29" s="35"/>
    </row>
    <row r="30" spans="1:15" x14ac:dyDescent="0.2">
      <c r="A30" s="20">
        <v>311</v>
      </c>
      <c r="B30" s="21">
        <v>483</v>
      </c>
      <c r="C30" s="22" t="s">
        <v>209</v>
      </c>
      <c r="D30" s="23">
        <v>68473339</v>
      </c>
      <c r="E30" s="24" t="s">
        <v>210</v>
      </c>
      <c r="F30" s="25">
        <v>45931</v>
      </c>
      <c r="G30" s="24">
        <v>3074283</v>
      </c>
      <c r="H30" s="22" t="s">
        <v>122</v>
      </c>
      <c r="I30" s="24" t="s">
        <v>123</v>
      </c>
      <c r="J30" s="26">
        <v>91</v>
      </c>
      <c r="K30" s="26">
        <v>81.62</v>
      </c>
      <c r="L30" s="26">
        <v>9.3800000000000008</v>
      </c>
      <c r="N30" s="35"/>
      <c r="O30" s="35"/>
    </row>
    <row r="31" spans="1:15" ht="22.5" x14ac:dyDescent="0.2">
      <c r="A31" s="20">
        <v>312</v>
      </c>
      <c r="B31" s="21">
        <v>483</v>
      </c>
      <c r="C31" s="22" t="s">
        <v>209</v>
      </c>
      <c r="D31" s="23">
        <v>68473339</v>
      </c>
      <c r="E31" s="24" t="s">
        <v>210</v>
      </c>
      <c r="F31" s="25">
        <v>45910</v>
      </c>
      <c r="G31" s="24">
        <v>3075298</v>
      </c>
      <c r="H31" s="22" t="s">
        <v>124</v>
      </c>
      <c r="I31" s="24" t="s">
        <v>125</v>
      </c>
      <c r="J31" s="26">
        <v>39</v>
      </c>
      <c r="K31" s="26">
        <v>32.36</v>
      </c>
      <c r="L31" s="26">
        <v>6.64</v>
      </c>
      <c r="N31" s="35"/>
      <c r="O31" s="35"/>
    </row>
    <row r="32" spans="1:15" ht="22.5" x14ac:dyDescent="0.2">
      <c r="A32" s="20">
        <v>313</v>
      </c>
      <c r="B32" s="21">
        <v>483</v>
      </c>
      <c r="C32" s="22" t="s">
        <v>209</v>
      </c>
      <c r="D32" s="23">
        <v>68473339</v>
      </c>
      <c r="E32" s="24" t="s">
        <v>210</v>
      </c>
      <c r="F32" s="25">
        <v>45931</v>
      </c>
      <c r="G32" s="24">
        <v>3075298</v>
      </c>
      <c r="H32" s="22" t="s">
        <v>124</v>
      </c>
      <c r="I32" s="24" t="s">
        <v>125</v>
      </c>
      <c r="J32" s="26">
        <v>39</v>
      </c>
      <c r="K32" s="26">
        <v>32.36</v>
      </c>
      <c r="L32" s="26">
        <v>6.64</v>
      </c>
      <c r="N32" s="35"/>
      <c r="O32" s="35"/>
    </row>
    <row r="33" spans="1:15" ht="22.5" x14ac:dyDescent="0.2">
      <c r="A33" s="20">
        <v>314</v>
      </c>
      <c r="B33" s="21">
        <v>483</v>
      </c>
      <c r="C33" s="22" t="s">
        <v>209</v>
      </c>
      <c r="D33" s="23">
        <v>68473339</v>
      </c>
      <c r="E33" s="24" t="s">
        <v>210</v>
      </c>
      <c r="F33" s="25">
        <v>45910</v>
      </c>
      <c r="G33" s="24">
        <v>3079688</v>
      </c>
      <c r="H33" s="22" t="s">
        <v>78</v>
      </c>
      <c r="I33" s="24" t="s">
        <v>79</v>
      </c>
      <c r="J33" s="26">
        <v>81</v>
      </c>
      <c r="K33" s="26">
        <v>70.12</v>
      </c>
      <c r="L33" s="26">
        <v>10.88</v>
      </c>
      <c r="N33" s="35"/>
      <c r="O33" s="35"/>
    </row>
    <row r="34" spans="1:15" ht="22.5" x14ac:dyDescent="0.2">
      <c r="A34" s="20">
        <v>315</v>
      </c>
      <c r="B34" s="21">
        <v>483</v>
      </c>
      <c r="C34" s="22" t="s">
        <v>209</v>
      </c>
      <c r="D34" s="23">
        <v>68473339</v>
      </c>
      <c r="E34" s="24" t="s">
        <v>210</v>
      </c>
      <c r="F34" s="25">
        <v>45931</v>
      </c>
      <c r="G34" s="24">
        <v>3079688</v>
      </c>
      <c r="H34" s="22" t="s">
        <v>78</v>
      </c>
      <c r="I34" s="24" t="s">
        <v>79</v>
      </c>
      <c r="J34" s="26">
        <v>81</v>
      </c>
      <c r="K34" s="26">
        <v>70.12</v>
      </c>
      <c r="L34" s="26">
        <v>10.88</v>
      </c>
      <c r="N34" s="35"/>
      <c r="O34" s="35"/>
    </row>
    <row r="35" spans="1:15" ht="22.5" x14ac:dyDescent="0.2">
      <c r="A35" s="20">
        <v>316</v>
      </c>
      <c r="B35" s="21">
        <v>483</v>
      </c>
      <c r="C35" s="22" t="s">
        <v>211</v>
      </c>
      <c r="D35" s="23">
        <v>68583988</v>
      </c>
      <c r="E35" s="24" t="s">
        <v>212</v>
      </c>
      <c r="F35" s="25">
        <v>45924</v>
      </c>
      <c r="G35" s="24">
        <v>3063641</v>
      </c>
      <c r="H35" s="22" t="s">
        <v>72</v>
      </c>
      <c r="I35" s="24" t="s">
        <v>73</v>
      </c>
      <c r="J35" s="26">
        <v>475</v>
      </c>
      <c r="K35" s="26">
        <v>460.22</v>
      </c>
      <c r="L35" s="26">
        <v>14.78</v>
      </c>
      <c r="N35" s="35"/>
      <c r="O35" s="35"/>
    </row>
    <row r="36" spans="1:15" x14ac:dyDescent="0.2">
      <c r="A36" s="20">
        <v>317</v>
      </c>
      <c r="B36" s="21">
        <v>483</v>
      </c>
      <c r="C36" s="22" t="s">
        <v>211</v>
      </c>
      <c r="D36" s="23">
        <v>68583988</v>
      </c>
      <c r="E36" s="24" t="s">
        <v>212</v>
      </c>
      <c r="F36" s="25">
        <v>45924</v>
      </c>
      <c r="G36" s="24">
        <v>3074085</v>
      </c>
      <c r="H36" s="22" t="s">
        <v>74</v>
      </c>
      <c r="I36" s="24" t="s">
        <v>75</v>
      </c>
      <c r="J36" s="26">
        <v>42</v>
      </c>
      <c r="K36" s="26">
        <v>33.54</v>
      </c>
      <c r="L36" s="26">
        <v>8.4600000000000009</v>
      </c>
      <c r="N36" s="35"/>
      <c r="O36" s="35"/>
    </row>
    <row r="37" spans="1:15" x14ac:dyDescent="0.2">
      <c r="A37" s="20">
        <v>318</v>
      </c>
      <c r="B37" s="21">
        <v>483</v>
      </c>
      <c r="C37" s="22" t="s">
        <v>211</v>
      </c>
      <c r="D37" s="23">
        <v>68583988</v>
      </c>
      <c r="E37" s="24" t="s">
        <v>212</v>
      </c>
      <c r="F37" s="25">
        <v>45924</v>
      </c>
      <c r="G37" s="24">
        <v>3074283</v>
      </c>
      <c r="H37" s="22" t="s">
        <v>122</v>
      </c>
      <c r="I37" s="24" t="s">
        <v>123</v>
      </c>
      <c r="J37" s="26">
        <v>91</v>
      </c>
      <c r="K37" s="26">
        <v>81.62</v>
      </c>
      <c r="L37" s="26">
        <v>9.3800000000000008</v>
      </c>
      <c r="N37" s="35"/>
      <c r="O37" s="35"/>
    </row>
    <row r="38" spans="1:15" ht="22.5" x14ac:dyDescent="0.2">
      <c r="A38" s="20">
        <v>319</v>
      </c>
      <c r="B38" s="21">
        <v>483</v>
      </c>
      <c r="C38" s="22" t="s">
        <v>211</v>
      </c>
      <c r="D38" s="23">
        <v>68583988</v>
      </c>
      <c r="E38" s="24" t="s">
        <v>212</v>
      </c>
      <c r="F38" s="25">
        <v>45924</v>
      </c>
      <c r="G38" s="24">
        <v>3075298</v>
      </c>
      <c r="H38" s="22" t="s">
        <v>124</v>
      </c>
      <c r="I38" s="24" t="s">
        <v>125</v>
      </c>
      <c r="J38" s="26">
        <v>39</v>
      </c>
      <c r="K38" s="26">
        <v>32.36</v>
      </c>
      <c r="L38" s="26">
        <v>6.64</v>
      </c>
      <c r="N38" s="35"/>
      <c r="O38" s="35"/>
    </row>
    <row r="39" spans="1:15" ht="22.5" x14ac:dyDescent="0.2">
      <c r="A39" s="20">
        <v>320</v>
      </c>
      <c r="B39" s="21">
        <v>483</v>
      </c>
      <c r="C39" s="22" t="s">
        <v>211</v>
      </c>
      <c r="D39" s="23">
        <v>68583988</v>
      </c>
      <c r="E39" s="24" t="s">
        <v>212</v>
      </c>
      <c r="F39" s="25">
        <v>45924</v>
      </c>
      <c r="G39" s="24">
        <v>3079688</v>
      </c>
      <c r="H39" s="22" t="s">
        <v>78</v>
      </c>
      <c r="I39" s="24" t="s">
        <v>79</v>
      </c>
      <c r="J39" s="26">
        <v>81</v>
      </c>
      <c r="K39" s="26">
        <v>70.12</v>
      </c>
      <c r="L39" s="26">
        <v>10.88</v>
      </c>
      <c r="N39" s="35"/>
      <c r="O39" s="35"/>
    </row>
    <row r="40" spans="1:15" ht="22.5" x14ac:dyDescent="0.2">
      <c r="A40" s="20">
        <v>321</v>
      </c>
      <c r="B40" s="21">
        <v>483</v>
      </c>
      <c r="C40" s="22" t="s">
        <v>211</v>
      </c>
      <c r="D40" s="23">
        <v>68583988</v>
      </c>
      <c r="E40" s="24" t="s">
        <v>212</v>
      </c>
      <c r="F40" s="25">
        <v>45938</v>
      </c>
      <c r="G40" s="24">
        <v>3086303</v>
      </c>
      <c r="H40" s="22" t="s">
        <v>98</v>
      </c>
      <c r="I40" s="24" t="s">
        <v>99</v>
      </c>
      <c r="J40" s="26">
        <v>66</v>
      </c>
      <c r="K40" s="26">
        <v>59.99</v>
      </c>
      <c r="L40" s="26">
        <v>6.01</v>
      </c>
      <c r="N40" s="35"/>
      <c r="O40" s="35"/>
    </row>
    <row r="41" spans="1:15" ht="22.5" x14ac:dyDescent="0.2">
      <c r="A41" s="20">
        <v>322</v>
      </c>
      <c r="B41" s="21">
        <v>483</v>
      </c>
      <c r="C41" s="22" t="s">
        <v>211</v>
      </c>
      <c r="D41" s="23">
        <v>68583988</v>
      </c>
      <c r="E41" s="24" t="s">
        <v>212</v>
      </c>
      <c r="F41" s="25">
        <v>45938</v>
      </c>
      <c r="G41" s="24">
        <v>3086428</v>
      </c>
      <c r="H41" s="22" t="s">
        <v>100</v>
      </c>
      <c r="I41" s="24" t="s">
        <v>101</v>
      </c>
      <c r="J41" s="26">
        <v>62</v>
      </c>
      <c r="K41" s="26">
        <v>53.59</v>
      </c>
      <c r="L41" s="26">
        <v>8.41</v>
      </c>
      <c r="N41" s="35"/>
      <c r="O41" s="35"/>
    </row>
    <row r="42" spans="1:15" ht="22.5" x14ac:dyDescent="0.2">
      <c r="A42" s="20">
        <v>323</v>
      </c>
      <c r="B42" s="21">
        <v>483</v>
      </c>
      <c r="C42" s="22" t="s">
        <v>209</v>
      </c>
      <c r="D42" s="23">
        <v>68795764</v>
      </c>
      <c r="E42" s="24" t="s">
        <v>210</v>
      </c>
      <c r="F42" s="25">
        <v>45952</v>
      </c>
      <c r="G42" s="24">
        <v>3063641</v>
      </c>
      <c r="H42" s="22" t="s">
        <v>72</v>
      </c>
      <c r="I42" s="24" t="s">
        <v>73</v>
      </c>
      <c r="J42" s="26">
        <v>475</v>
      </c>
      <c r="K42" s="26">
        <v>460.22</v>
      </c>
      <c r="L42" s="26">
        <v>14.78</v>
      </c>
      <c r="N42" s="35"/>
      <c r="O42" s="35"/>
    </row>
    <row r="43" spans="1:15" x14ac:dyDescent="0.2">
      <c r="A43" s="20">
        <v>324</v>
      </c>
      <c r="B43" s="21">
        <v>483</v>
      </c>
      <c r="C43" s="22" t="s">
        <v>209</v>
      </c>
      <c r="D43" s="23">
        <v>68795764</v>
      </c>
      <c r="E43" s="24" t="s">
        <v>210</v>
      </c>
      <c r="F43" s="25">
        <v>45952</v>
      </c>
      <c r="G43" s="24">
        <v>3074085</v>
      </c>
      <c r="H43" s="22" t="s">
        <v>74</v>
      </c>
      <c r="I43" s="24" t="s">
        <v>75</v>
      </c>
      <c r="J43" s="26">
        <v>42</v>
      </c>
      <c r="K43" s="26">
        <v>33.54</v>
      </c>
      <c r="L43" s="26">
        <v>8.4600000000000009</v>
      </c>
      <c r="N43" s="35"/>
      <c r="O43" s="35"/>
    </row>
    <row r="44" spans="1:15" x14ac:dyDescent="0.2">
      <c r="A44" s="20">
        <v>325</v>
      </c>
      <c r="B44" s="21">
        <v>483</v>
      </c>
      <c r="C44" s="22" t="s">
        <v>209</v>
      </c>
      <c r="D44" s="23">
        <v>68795764</v>
      </c>
      <c r="E44" s="24" t="s">
        <v>210</v>
      </c>
      <c r="F44" s="25">
        <v>45952</v>
      </c>
      <c r="G44" s="24">
        <v>3074283</v>
      </c>
      <c r="H44" s="22" t="s">
        <v>122</v>
      </c>
      <c r="I44" s="24" t="s">
        <v>123</v>
      </c>
      <c r="J44" s="26">
        <v>91</v>
      </c>
      <c r="K44" s="26">
        <v>81.62</v>
      </c>
      <c r="L44" s="26">
        <v>9.3800000000000008</v>
      </c>
      <c r="N44" s="35"/>
      <c r="O44" s="35"/>
    </row>
    <row r="45" spans="1:15" ht="22.5" x14ac:dyDescent="0.2">
      <c r="A45" s="20">
        <v>326</v>
      </c>
      <c r="B45" s="21">
        <v>483</v>
      </c>
      <c r="C45" s="22" t="s">
        <v>209</v>
      </c>
      <c r="D45" s="23">
        <v>68795764</v>
      </c>
      <c r="E45" s="24" t="s">
        <v>210</v>
      </c>
      <c r="F45" s="25">
        <v>45952</v>
      </c>
      <c r="G45" s="24">
        <v>3075298</v>
      </c>
      <c r="H45" s="22" t="s">
        <v>124</v>
      </c>
      <c r="I45" s="24" t="s">
        <v>125</v>
      </c>
      <c r="J45" s="26">
        <v>39</v>
      </c>
      <c r="K45" s="26">
        <v>32.36</v>
      </c>
      <c r="L45" s="26">
        <v>6.64</v>
      </c>
      <c r="N45" s="35"/>
      <c r="O45" s="35"/>
    </row>
    <row r="46" spans="1:15" ht="22.5" x14ac:dyDescent="0.2">
      <c r="A46" s="20">
        <v>327</v>
      </c>
      <c r="B46" s="21">
        <v>483</v>
      </c>
      <c r="C46" s="22" t="s">
        <v>209</v>
      </c>
      <c r="D46" s="23">
        <v>68795764</v>
      </c>
      <c r="E46" s="24" t="s">
        <v>210</v>
      </c>
      <c r="F46" s="25">
        <v>45952</v>
      </c>
      <c r="G46" s="24">
        <v>3079688</v>
      </c>
      <c r="H46" s="22" t="s">
        <v>78</v>
      </c>
      <c r="I46" s="24" t="s">
        <v>79</v>
      </c>
      <c r="J46" s="26">
        <v>81</v>
      </c>
      <c r="K46" s="26">
        <v>70.12</v>
      </c>
      <c r="L46" s="26">
        <v>10.88</v>
      </c>
      <c r="N46" s="35"/>
      <c r="O46" s="35"/>
    </row>
    <row r="47" spans="1:15" x14ac:dyDescent="0.2">
      <c r="B47" s="11"/>
      <c r="C47" s="27"/>
      <c r="D47" s="28"/>
      <c r="E47" s="11"/>
      <c r="F47" s="11"/>
      <c r="G47" s="11"/>
      <c r="H47" s="29"/>
      <c r="I47" s="29"/>
      <c r="J47" s="29"/>
      <c r="K47" s="34"/>
      <c r="L47" s="12"/>
    </row>
    <row r="48" spans="1:15" x14ac:dyDescent="0.2">
      <c r="B48" s="11"/>
      <c r="C48" s="27"/>
      <c r="D48" s="28"/>
      <c r="E48" s="14"/>
      <c r="F48" s="14"/>
      <c r="G48" s="14"/>
      <c r="H48" s="14"/>
      <c r="I48" s="29"/>
      <c r="J48" s="29"/>
      <c r="K48" s="12"/>
      <c r="L48" s="12"/>
    </row>
    <row r="49" spans="2:12" x14ac:dyDescent="0.2">
      <c r="B49" s="11"/>
      <c r="C49" s="27"/>
      <c r="D49" s="28"/>
      <c r="E49" s="11"/>
      <c r="F49" s="12"/>
      <c r="G49" s="12"/>
      <c r="H49" s="12"/>
      <c r="I49" s="29"/>
      <c r="J49" s="29"/>
      <c r="K49" s="12"/>
      <c r="L49" s="12"/>
    </row>
    <row r="50" spans="2:12" ht="13.5" thickBot="1" x14ac:dyDescent="0.25">
      <c r="B50" s="11"/>
      <c r="C50" s="27"/>
      <c r="D50" s="12" t="s">
        <v>46</v>
      </c>
      <c r="E50" s="30"/>
      <c r="F50" s="30"/>
      <c r="G50" s="30"/>
      <c r="H50" s="31"/>
      <c r="I50" s="12"/>
      <c r="J50" s="29"/>
      <c r="K50" s="12"/>
      <c r="L50" s="32">
        <v>214.97999999999993</v>
      </c>
    </row>
    <row r="51" spans="2:12" ht="13.5" thickTop="1" x14ac:dyDescent="0.2">
      <c r="B51" s="11"/>
      <c r="C51" s="27"/>
      <c r="D51" s="33"/>
      <c r="E51" s="30"/>
      <c r="F51" s="30"/>
      <c r="G51" s="30"/>
      <c r="H51" s="31"/>
      <c r="I51" s="12"/>
      <c r="J51" s="29"/>
      <c r="K51" s="12"/>
      <c r="L51" s="34"/>
    </row>
    <row r="55" spans="2:12" ht="59.65" customHeight="1" x14ac:dyDescent="0.25">
      <c r="C55"/>
      <c r="D55"/>
      <c r="E55"/>
      <c r="F55"/>
      <c r="G55"/>
      <c r="H55"/>
      <c r="I55"/>
      <c r="J55"/>
      <c r="K5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95498F6C-6540-4625-AE21-61A744EED77E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96F1-6DF2-4D71-A05B-ECC5C826DABB}">
  <sheetPr>
    <tabColor rgb="FFFFFF00"/>
    <pageSetUpPr fitToPage="1"/>
  </sheetPr>
  <dimension ref="A1:L61"/>
  <sheetViews>
    <sheetView topLeftCell="B41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4.140625" style="2" customWidth="1"/>
    <col min="3" max="3" width="14.42578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85546875" style="2" customWidth="1"/>
    <col min="11" max="11" width="11.140625" style="2" customWidth="1"/>
    <col min="12" max="12" width="9.8554687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213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214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28</v>
      </c>
      <c r="B20" s="12" t="s">
        <v>21</v>
      </c>
      <c r="C20" s="13">
        <v>2606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4266250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ht="33.75" x14ac:dyDescent="0.2">
      <c r="A25" s="20">
        <v>62</v>
      </c>
      <c r="B25" s="21">
        <v>483</v>
      </c>
      <c r="C25" s="22" t="s">
        <v>215</v>
      </c>
      <c r="D25" s="23">
        <v>68689538</v>
      </c>
      <c r="E25" s="24" t="s">
        <v>216</v>
      </c>
      <c r="F25" s="25">
        <v>45702</v>
      </c>
      <c r="G25" s="24">
        <v>3062338</v>
      </c>
      <c r="H25" s="22" t="s">
        <v>82</v>
      </c>
      <c r="I25" s="24" t="s">
        <v>83</v>
      </c>
      <c r="J25" s="26">
        <v>166</v>
      </c>
      <c r="K25" s="26">
        <v>111.93</v>
      </c>
      <c r="L25" s="26">
        <v>54.07</v>
      </c>
    </row>
    <row r="26" spans="1:12" ht="22.5" x14ac:dyDescent="0.2">
      <c r="A26" s="20">
        <v>63</v>
      </c>
      <c r="B26" s="21">
        <v>483</v>
      </c>
      <c r="C26" s="22" t="s">
        <v>215</v>
      </c>
      <c r="D26" s="23">
        <v>68689538</v>
      </c>
      <c r="E26" s="24" t="s">
        <v>216</v>
      </c>
      <c r="F26" s="25">
        <v>45702</v>
      </c>
      <c r="G26" s="24">
        <v>3063419</v>
      </c>
      <c r="H26" s="22" t="s">
        <v>190</v>
      </c>
      <c r="I26" s="24" t="s">
        <v>191</v>
      </c>
      <c r="J26" s="26">
        <v>55</v>
      </c>
      <c r="K26" s="26">
        <v>48.91</v>
      </c>
      <c r="L26" s="26">
        <v>6.09</v>
      </c>
    </row>
    <row r="27" spans="1:12" ht="22.5" x14ac:dyDescent="0.2">
      <c r="A27" s="20">
        <v>64</v>
      </c>
      <c r="B27" s="21">
        <v>483</v>
      </c>
      <c r="C27" s="22" t="s">
        <v>215</v>
      </c>
      <c r="D27" s="23">
        <v>68689538</v>
      </c>
      <c r="E27" s="24" t="s">
        <v>216</v>
      </c>
      <c r="F27" s="25">
        <v>45702</v>
      </c>
      <c r="G27" s="24">
        <v>3063716</v>
      </c>
      <c r="H27" s="22" t="s">
        <v>86</v>
      </c>
      <c r="I27" s="24" t="s">
        <v>87</v>
      </c>
      <c r="J27" s="26">
        <v>127</v>
      </c>
      <c r="K27" s="26">
        <v>104.18</v>
      </c>
      <c r="L27" s="26">
        <v>22.82</v>
      </c>
    </row>
    <row r="28" spans="1:12" ht="22.5" x14ac:dyDescent="0.2">
      <c r="A28" s="20">
        <v>65</v>
      </c>
      <c r="B28" s="21">
        <v>483</v>
      </c>
      <c r="C28" s="22" t="s">
        <v>215</v>
      </c>
      <c r="D28" s="23">
        <v>68689538</v>
      </c>
      <c r="E28" s="24" t="s">
        <v>216</v>
      </c>
      <c r="F28" s="25">
        <v>45702</v>
      </c>
      <c r="G28" s="24">
        <v>3073624</v>
      </c>
      <c r="H28" s="22" t="s">
        <v>217</v>
      </c>
      <c r="I28" s="24" t="s">
        <v>218</v>
      </c>
      <c r="J28" s="26">
        <v>166</v>
      </c>
      <c r="K28" s="26">
        <v>152.41</v>
      </c>
      <c r="L28" s="26">
        <v>13.59</v>
      </c>
    </row>
    <row r="29" spans="1:12" ht="22.5" x14ac:dyDescent="0.2">
      <c r="A29" s="20">
        <v>66</v>
      </c>
      <c r="B29" s="21">
        <v>483</v>
      </c>
      <c r="C29" s="22" t="s">
        <v>215</v>
      </c>
      <c r="D29" s="23">
        <v>68689538</v>
      </c>
      <c r="E29" s="24" t="s">
        <v>216</v>
      </c>
      <c r="F29" s="25">
        <v>45702</v>
      </c>
      <c r="G29" s="24">
        <v>3073863</v>
      </c>
      <c r="H29" s="22" t="s">
        <v>219</v>
      </c>
      <c r="I29" s="24" t="s">
        <v>220</v>
      </c>
      <c r="J29" s="26">
        <v>192</v>
      </c>
      <c r="K29" s="26">
        <v>166.24</v>
      </c>
      <c r="L29" s="26">
        <v>25.76</v>
      </c>
    </row>
    <row r="30" spans="1:12" ht="22.5" x14ac:dyDescent="0.2">
      <c r="A30" s="20">
        <v>67</v>
      </c>
      <c r="B30" s="21">
        <v>483</v>
      </c>
      <c r="C30" s="22" t="s">
        <v>215</v>
      </c>
      <c r="D30" s="23">
        <v>68689538</v>
      </c>
      <c r="E30" s="24" t="s">
        <v>216</v>
      </c>
      <c r="F30" s="25">
        <v>45702</v>
      </c>
      <c r="G30" s="24">
        <v>3075058</v>
      </c>
      <c r="H30" s="22" t="s">
        <v>221</v>
      </c>
      <c r="I30" s="24" t="s">
        <v>222</v>
      </c>
      <c r="J30" s="26">
        <v>122</v>
      </c>
      <c r="K30" s="26">
        <v>80.210000000000008</v>
      </c>
      <c r="L30" s="26">
        <v>41.79</v>
      </c>
    </row>
    <row r="31" spans="1:12" ht="22.5" x14ac:dyDescent="0.2">
      <c r="A31" s="20">
        <v>68</v>
      </c>
      <c r="B31" s="21">
        <v>483</v>
      </c>
      <c r="C31" s="22" t="s">
        <v>215</v>
      </c>
      <c r="D31" s="23">
        <v>68689538</v>
      </c>
      <c r="E31" s="24" t="s">
        <v>216</v>
      </c>
      <c r="F31" s="25">
        <v>45702</v>
      </c>
      <c r="G31" s="24">
        <v>3076254</v>
      </c>
      <c r="H31" s="22" t="s">
        <v>141</v>
      </c>
      <c r="I31" s="24" t="s">
        <v>142</v>
      </c>
      <c r="J31" s="26">
        <v>93</v>
      </c>
      <c r="K31" s="26">
        <v>80.37</v>
      </c>
      <c r="L31" s="26">
        <v>12.63</v>
      </c>
    </row>
    <row r="32" spans="1:12" ht="22.5" x14ac:dyDescent="0.2">
      <c r="A32" s="20">
        <v>69</v>
      </c>
      <c r="B32" s="21">
        <v>483</v>
      </c>
      <c r="C32" s="22" t="s">
        <v>215</v>
      </c>
      <c r="D32" s="23">
        <v>68689538</v>
      </c>
      <c r="E32" s="24" t="s">
        <v>216</v>
      </c>
      <c r="F32" s="25">
        <v>45702</v>
      </c>
      <c r="G32" s="24">
        <v>3076395</v>
      </c>
      <c r="H32" s="22" t="s">
        <v>223</v>
      </c>
      <c r="I32" s="24" t="s">
        <v>224</v>
      </c>
      <c r="J32" s="26">
        <v>58</v>
      </c>
      <c r="K32" s="26">
        <v>49.96</v>
      </c>
      <c r="L32" s="26">
        <v>8.0399999999999991</v>
      </c>
    </row>
    <row r="33" spans="1:12" ht="33.75" x14ac:dyDescent="0.2">
      <c r="A33" s="20">
        <v>70</v>
      </c>
      <c r="B33" s="21">
        <v>483</v>
      </c>
      <c r="C33" s="22" t="s">
        <v>215</v>
      </c>
      <c r="D33" s="23">
        <v>68689538</v>
      </c>
      <c r="E33" s="24" t="s">
        <v>216</v>
      </c>
      <c r="F33" s="25">
        <v>45702</v>
      </c>
      <c r="G33" s="24">
        <v>3076437</v>
      </c>
      <c r="H33" s="22" t="s">
        <v>225</v>
      </c>
      <c r="I33" s="24" t="s">
        <v>226</v>
      </c>
      <c r="J33" s="26">
        <v>79</v>
      </c>
      <c r="K33" s="26">
        <v>59.15</v>
      </c>
      <c r="L33" s="26">
        <v>19.850000000000001</v>
      </c>
    </row>
    <row r="34" spans="1:12" ht="33.75" x14ac:dyDescent="0.2">
      <c r="A34" s="20">
        <v>71</v>
      </c>
      <c r="B34" s="21">
        <v>483</v>
      </c>
      <c r="C34" s="22" t="s">
        <v>215</v>
      </c>
      <c r="D34" s="23">
        <v>68689538</v>
      </c>
      <c r="E34" s="24" t="s">
        <v>216</v>
      </c>
      <c r="F34" s="25">
        <v>45702</v>
      </c>
      <c r="G34" s="24">
        <v>3076486</v>
      </c>
      <c r="H34" s="22" t="s">
        <v>92</v>
      </c>
      <c r="I34" s="24" t="s">
        <v>93</v>
      </c>
      <c r="J34" s="26">
        <v>124</v>
      </c>
      <c r="K34" s="26">
        <v>100.48</v>
      </c>
      <c r="L34" s="26">
        <v>23.52</v>
      </c>
    </row>
    <row r="35" spans="1:12" ht="22.5" x14ac:dyDescent="0.2">
      <c r="A35" s="20">
        <v>72</v>
      </c>
      <c r="B35" s="21">
        <v>483</v>
      </c>
      <c r="C35" s="22" t="s">
        <v>215</v>
      </c>
      <c r="D35" s="23">
        <v>68689538</v>
      </c>
      <c r="E35" s="24" t="s">
        <v>216</v>
      </c>
      <c r="F35" s="25">
        <v>45702</v>
      </c>
      <c r="G35" s="24">
        <v>3077559</v>
      </c>
      <c r="H35" s="22" t="s">
        <v>128</v>
      </c>
      <c r="I35" s="24" t="s">
        <v>129</v>
      </c>
      <c r="J35" s="26">
        <v>109</v>
      </c>
      <c r="K35" s="26">
        <v>101.75</v>
      </c>
      <c r="L35" s="26">
        <v>7.25</v>
      </c>
    </row>
    <row r="36" spans="1:12" ht="22.5" x14ac:dyDescent="0.2">
      <c r="A36" s="20">
        <v>73</v>
      </c>
      <c r="B36" s="21">
        <v>483</v>
      </c>
      <c r="C36" s="22" t="s">
        <v>215</v>
      </c>
      <c r="D36" s="23">
        <v>68689538</v>
      </c>
      <c r="E36" s="24" t="s">
        <v>216</v>
      </c>
      <c r="F36" s="25">
        <v>45702</v>
      </c>
      <c r="G36" s="24">
        <v>3087244</v>
      </c>
      <c r="H36" s="22" t="s">
        <v>227</v>
      </c>
      <c r="I36" s="24" t="s">
        <v>228</v>
      </c>
      <c r="J36" s="26">
        <v>175</v>
      </c>
      <c r="K36" s="26">
        <v>115.71000000000001</v>
      </c>
      <c r="L36" s="26">
        <v>59.29</v>
      </c>
    </row>
    <row r="37" spans="1:12" ht="22.5" x14ac:dyDescent="0.2">
      <c r="A37" s="20">
        <v>74</v>
      </c>
      <c r="B37" s="21">
        <v>483</v>
      </c>
      <c r="C37" s="22" t="s">
        <v>215</v>
      </c>
      <c r="D37" s="23">
        <v>68689538</v>
      </c>
      <c r="E37" s="24" t="s">
        <v>216</v>
      </c>
      <c r="F37" s="25">
        <v>45702</v>
      </c>
      <c r="G37" s="24">
        <v>3088127</v>
      </c>
      <c r="H37" s="22" t="s">
        <v>126</v>
      </c>
      <c r="I37" s="24" t="s">
        <v>127</v>
      </c>
      <c r="J37" s="26">
        <v>30</v>
      </c>
      <c r="K37" s="26">
        <v>26.85</v>
      </c>
      <c r="L37" s="26">
        <v>3.15</v>
      </c>
    </row>
    <row r="38" spans="1:12" ht="22.5" x14ac:dyDescent="0.2">
      <c r="A38" s="20">
        <v>75</v>
      </c>
      <c r="B38" s="21">
        <v>483</v>
      </c>
      <c r="C38" s="22" t="s">
        <v>215</v>
      </c>
      <c r="D38" s="23">
        <v>68689538</v>
      </c>
      <c r="E38" s="24" t="s">
        <v>216</v>
      </c>
      <c r="F38" s="25">
        <v>45702</v>
      </c>
      <c r="G38" s="24">
        <v>3095015</v>
      </c>
      <c r="H38" s="22" t="s">
        <v>229</v>
      </c>
      <c r="I38" s="24" t="s">
        <v>230</v>
      </c>
      <c r="J38" s="26">
        <v>234</v>
      </c>
      <c r="K38" s="26">
        <v>226.75</v>
      </c>
      <c r="L38" s="26">
        <v>7.25</v>
      </c>
    </row>
    <row r="39" spans="1:12" ht="22.5" x14ac:dyDescent="0.2">
      <c r="A39" s="20">
        <v>76</v>
      </c>
      <c r="B39" s="21">
        <v>483</v>
      </c>
      <c r="C39" s="22" t="s">
        <v>215</v>
      </c>
      <c r="D39" s="23">
        <v>68689538</v>
      </c>
      <c r="E39" s="24" t="s">
        <v>216</v>
      </c>
      <c r="F39" s="25">
        <v>45702</v>
      </c>
      <c r="G39" s="24">
        <v>3105772</v>
      </c>
      <c r="H39" s="22" t="s">
        <v>231</v>
      </c>
      <c r="I39" s="24" t="s">
        <v>232</v>
      </c>
      <c r="J39" s="26">
        <v>73</v>
      </c>
      <c r="K39" s="26">
        <v>46.85</v>
      </c>
      <c r="L39" s="26">
        <v>26.15</v>
      </c>
    </row>
    <row r="40" spans="1:12" ht="33.75" x14ac:dyDescent="0.2">
      <c r="A40" s="20">
        <v>77</v>
      </c>
      <c r="B40" s="21">
        <v>483</v>
      </c>
      <c r="C40" s="22" t="s">
        <v>233</v>
      </c>
      <c r="D40" s="23">
        <v>68677137</v>
      </c>
      <c r="E40" s="24" t="s">
        <v>234</v>
      </c>
      <c r="F40" s="25">
        <v>45936</v>
      </c>
      <c r="G40" s="24">
        <v>3062338</v>
      </c>
      <c r="H40" s="22" t="s">
        <v>82</v>
      </c>
      <c r="I40" s="24" t="s">
        <v>83</v>
      </c>
      <c r="J40" s="26">
        <v>116</v>
      </c>
      <c r="K40" s="26">
        <v>61.93</v>
      </c>
      <c r="L40" s="26">
        <v>54.07</v>
      </c>
    </row>
    <row r="41" spans="1:12" ht="22.5" x14ac:dyDescent="0.2">
      <c r="A41" s="20">
        <v>78</v>
      </c>
      <c r="B41" s="21">
        <v>483</v>
      </c>
      <c r="C41" s="22" t="s">
        <v>233</v>
      </c>
      <c r="D41" s="23">
        <v>68677137</v>
      </c>
      <c r="E41" s="24" t="s">
        <v>234</v>
      </c>
      <c r="F41" s="25">
        <v>45936</v>
      </c>
      <c r="G41" s="24">
        <v>3063419</v>
      </c>
      <c r="H41" s="22" t="s">
        <v>190</v>
      </c>
      <c r="I41" s="24" t="s">
        <v>191</v>
      </c>
      <c r="J41" s="26">
        <v>55</v>
      </c>
      <c r="K41" s="26">
        <v>48.91</v>
      </c>
      <c r="L41" s="26">
        <v>6.09</v>
      </c>
    </row>
    <row r="42" spans="1:12" x14ac:dyDescent="0.2">
      <c r="A42" s="20">
        <v>79</v>
      </c>
      <c r="B42" s="21">
        <v>483</v>
      </c>
      <c r="C42" s="22" t="s">
        <v>233</v>
      </c>
      <c r="D42" s="23">
        <v>68677137</v>
      </c>
      <c r="E42" s="24" t="s">
        <v>234</v>
      </c>
      <c r="F42" s="25">
        <v>45936</v>
      </c>
      <c r="G42" s="24">
        <v>3063716</v>
      </c>
      <c r="H42" s="22" t="s">
        <v>86</v>
      </c>
      <c r="I42" s="24" t="s">
        <v>87</v>
      </c>
      <c r="J42" s="26">
        <v>58</v>
      </c>
      <c r="K42" s="26">
        <v>35.18</v>
      </c>
      <c r="L42" s="26">
        <v>22.82</v>
      </c>
    </row>
    <row r="43" spans="1:12" x14ac:dyDescent="0.2">
      <c r="A43" s="20">
        <v>80</v>
      </c>
      <c r="B43" s="21">
        <v>483</v>
      </c>
      <c r="C43" s="22" t="s">
        <v>233</v>
      </c>
      <c r="D43" s="23">
        <v>68677137</v>
      </c>
      <c r="E43" s="24" t="s">
        <v>234</v>
      </c>
      <c r="F43" s="25">
        <v>45936</v>
      </c>
      <c r="G43" s="24">
        <v>3073863</v>
      </c>
      <c r="H43" s="22" t="s">
        <v>219</v>
      </c>
      <c r="I43" s="24" t="s">
        <v>220</v>
      </c>
      <c r="J43" s="26">
        <v>94</v>
      </c>
      <c r="K43" s="26">
        <v>68.239999999999995</v>
      </c>
      <c r="L43" s="26">
        <v>25.76</v>
      </c>
    </row>
    <row r="44" spans="1:12" x14ac:dyDescent="0.2">
      <c r="A44" s="20">
        <v>81</v>
      </c>
      <c r="B44" s="21">
        <v>483</v>
      </c>
      <c r="C44" s="22" t="s">
        <v>233</v>
      </c>
      <c r="D44" s="23">
        <v>68677137</v>
      </c>
      <c r="E44" s="24" t="s">
        <v>234</v>
      </c>
      <c r="F44" s="25">
        <v>45936</v>
      </c>
      <c r="G44" s="24">
        <v>3075058</v>
      </c>
      <c r="H44" s="22" t="s">
        <v>221</v>
      </c>
      <c r="I44" s="24" t="s">
        <v>222</v>
      </c>
      <c r="J44" s="26">
        <v>90</v>
      </c>
      <c r="K44" s="26">
        <v>48.21</v>
      </c>
      <c r="L44" s="26">
        <v>41.79</v>
      </c>
    </row>
    <row r="45" spans="1:12" ht="22.5" x14ac:dyDescent="0.2">
      <c r="A45" s="20">
        <v>82</v>
      </c>
      <c r="B45" s="21">
        <v>483</v>
      </c>
      <c r="C45" s="22" t="s">
        <v>233</v>
      </c>
      <c r="D45" s="23">
        <v>68677137</v>
      </c>
      <c r="E45" s="24" t="s">
        <v>234</v>
      </c>
      <c r="F45" s="25">
        <v>45936</v>
      </c>
      <c r="G45" s="24">
        <v>3076254</v>
      </c>
      <c r="H45" s="22" t="s">
        <v>141</v>
      </c>
      <c r="I45" s="24" t="s">
        <v>142</v>
      </c>
      <c r="J45" s="26">
        <v>70</v>
      </c>
      <c r="K45" s="26">
        <v>57.37</v>
      </c>
      <c r="L45" s="26">
        <v>12.63</v>
      </c>
    </row>
    <row r="46" spans="1:12" x14ac:dyDescent="0.2">
      <c r="A46" s="20">
        <v>83</v>
      </c>
      <c r="B46" s="21">
        <v>483</v>
      </c>
      <c r="C46" s="22" t="s">
        <v>233</v>
      </c>
      <c r="D46" s="23">
        <v>68677137</v>
      </c>
      <c r="E46" s="24" t="s">
        <v>234</v>
      </c>
      <c r="F46" s="25">
        <v>45936</v>
      </c>
      <c r="G46" s="24">
        <v>3076395</v>
      </c>
      <c r="H46" s="22" t="s">
        <v>223</v>
      </c>
      <c r="I46" s="24" t="s">
        <v>224</v>
      </c>
      <c r="J46" s="26">
        <v>44</v>
      </c>
      <c r="K46" s="26">
        <v>35.96</v>
      </c>
      <c r="L46" s="26">
        <v>8.0399999999999991</v>
      </c>
    </row>
    <row r="47" spans="1:12" ht="33.75" x14ac:dyDescent="0.2">
      <c r="A47" s="20">
        <v>84</v>
      </c>
      <c r="B47" s="21">
        <v>483</v>
      </c>
      <c r="C47" s="22" t="s">
        <v>233</v>
      </c>
      <c r="D47" s="23">
        <v>68677137</v>
      </c>
      <c r="E47" s="24" t="s">
        <v>234</v>
      </c>
      <c r="F47" s="25">
        <v>45936</v>
      </c>
      <c r="G47" s="24">
        <v>3076437</v>
      </c>
      <c r="H47" s="22" t="s">
        <v>225</v>
      </c>
      <c r="I47" s="24" t="s">
        <v>226</v>
      </c>
      <c r="J47" s="26">
        <v>43</v>
      </c>
      <c r="K47" s="26">
        <v>23.15</v>
      </c>
      <c r="L47" s="26">
        <v>19.850000000000001</v>
      </c>
    </row>
    <row r="48" spans="1:12" ht="33.75" x14ac:dyDescent="0.2">
      <c r="A48" s="20">
        <v>85</v>
      </c>
      <c r="B48" s="21">
        <v>483</v>
      </c>
      <c r="C48" s="22" t="s">
        <v>233</v>
      </c>
      <c r="D48" s="23">
        <v>68677137</v>
      </c>
      <c r="E48" s="24" t="s">
        <v>234</v>
      </c>
      <c r="F48" s="25">
        <v>45936</v>
      </c>
      <c r="G48" s="24">
        <v>3076486</v>
      </c>
      <c r="H48" s="22" t="s">
        <v>92</v>
      </c>
      <c r="I48" s="24" t="s">
        <v>93</v>
      </c>
      <c r="J48" s="26">
        <v>93</v>
      </c>
      <c r="K48" s="26">
        <v>69.48</v>
      </c>
      <c r="L48" s="26">
        <v>23.52</v>
      </c>
    </row>
    <row r="49" spans="1:12" x14ac:dyDescent="0.2">
      <c r="A49" s="20">
        <v>86</v>
      </c>
      <c r="B49" s="21">
        <v>483</v>
      </c>
      <c r="C49" s="22" t="s">
        <v>233</v>
      </c>
      <c r="D49" s="23">
        <v>68677137</v>
      </c>
      <c r="E49" s="24" t="s">
        <v>234</v>
      </c>
      <c r="F49" s="25">
        <v>45936</v>
      </c>
      <c r="G49" s="24">
        <v>3077559</v>
      </c>
      <c r="H49" s="22" t="s">
        <v>128</v>
      </c>
      <c r="I49" s="24" t="s">
        <v>129</v>
      </c>
      <c r="J49" s="26">
        <v>82</v>
      </c>
      <c r="K49" s="26">
        <v>74.75</v>
      </c>
      <c r="L49" s="26">
        <v>7.25</v>
      </c>
    </row>
    <row r="50" spans="1:12" ht="22.5" x14ac:dyDescent="0.2">
      <c r="A50" s="20">
        <v>87</v>
      </c>
      <c r="B50" s="21">
        <v>483</v>
      </c>
      <c r="C50" s="22" t="s">
        <v>233</v>
      </c>
      <c r="D50" s="23">
        <v>68677137</v>
      </c>
      <c r="E50" s="24" t="s">
        <v>234</v>
      </c>
      <c r="F50" s="25">
        <v>45936</v>
      </c>
      <c r="G50" s="24">
        <v>3088127</v>
      </c>
      <c r="H50" s="22" t="s">
        <v>126</v>
      </c>
      <c r="I50" s="24" t="s">
        <v>127</v>
      </c>
      <c r="J50" s="26">
        <v>23</v>
      </c>
      <c r="K50" s="26">
        <v>19.850000000000001</v>
      </c>
      <c r="L50" s="26">
        <v>3.15</v>
      </c>
    </row>
    <row r="51" spans="1:12" ht="22.5" x14ac:dyDescent="0.2">
      <c r="A51" s="20">
        <v>88</v>
      </c>
      <c r="B51" s="21">
        <v>483</v>
      </c>
      <c r="C51" s="22" t="s">
        <v>233</v>
      </c>
      <c r="D51" s="23">
        <v>68677137</v>
      </c>
      <c r="E51" s="24" t="s">
        <v>234</v>
      </c>
      <c r="F51" s="25">
        <v>45936</v>
      </c>
      <c r="G51" s="24">
        <v>3095015</v>
      </c>
      <c r="H51" s="22" t="s">
        <v>229</v>
      </c>
      <c r="I51" s="24" t="s">
        <v>230</v>
      </c>
      <c r="J51" s="26">
        <v>176</v>
      </c>
      <c r="K51" s="26">
        <v>168.75</v>
      </c>
      <c r="L51" s="26">
        <v>7.25</v>
      </c>
    </row>
    <row r="52" spans="1:12" ht="22.5" x14ac:dyDescent="0.2">
      <c r="A52" s="20">
        <v>89</v>
      </c>
      <c r="B52" s="21">
        <v>483</v>
      </c>
      <c r="C52" s="22" t="s">
        <v>233</v>
      </c>
      <c r="D52" s="23">
        <v>68677137</v>
      </c>
      <c r="E52" s="24" t="s">
        <v>234</v>
      </c>
      <c r="F52" s="25">
        <v>45936</v>
      </c>
      <c r="G52" s="24">
        <v>3105772</v>
      </c>
      <c r="H52" s="22" t="s">
        <v>231</v>
      </c>
      <c r="I52" s="24" t="s">
        <v>232</v>
      </c>
      <c r="J52" s="26">
        <v>68</v>
      </c>
      <c r="K52" s="26">
        <v>41.85</v>
      </c>
      <c r="L52" s="26">
        <v>26.15</v>
      </c>
    </row>
    <row r="53" spans="1:12" x14ac:dyDescent="0.2">
      <c r="B53" s="11"/>
      <c r="C53" s="27"/>
      <c r="D53" s="28"/>
      <c r="E53" s="11"/>
      <c r="F53" s="11"/>
      <c r="G53" s="11"/>
      <c r="H53" s="29"/>
      <c r="I53" s="29"/>
      <c r="J53" s="29"/>
      <c r="K53" s="12"/>
      <c r="L53" s="12"/>
    </row>
    <row r="54" spans="1:12" x14ac:dyDescent="0.2">
      <c r="B54" s="11"/>
      <c r="C54" s="27"/>
      <c r="D54" s="28"/>
      <c r="E54" s="14"/>
      <c r="F54" s="14"/>
      <c r="G54" s="14"/>
      <c r="H54" s="14"/>
      <c r="I54" s="29"/>
      <c r="J54" s="29"/>
      <c r="K54" s="12"/>
      <c r="L54" s="12"/>
    </row>
    <row r="55" spans="1:12" x14ac:dyDescent="0.2">
      <c r="B55" s="11"/>
      <c r="C55" s="27"/>
      <c r="D55" s="28"/>
      <c r="E55" s="11"/>
      <c r="F55" s="12"/>
      <c r="G55" s="12"/>
      <c r="H55" s="12"/>
      <c r="I55" s="29"/>
      <c r="J55" s="29"/>
      <c r="K55" s="12"/>
      <c r="L55" s="12"/>
    </row>
    <row r="56" spans="1:12" ht="13.5" thickBot="1" x14ac:dyDescent="0.25">
      <c r="B56" s="11"/>
      <c r="C56" s="27"/>
      <c r="D56" s="12" t="s">
        <v>46</v>
      </c>
      <c r="E56" s="30"/>
      <c r="F56" s="30"/>
      <c r="G56" s="30"/>
      <c r="H56" s="31"/>
      <c r="I56" s="12"/>
      <c r="J56" s="29"/>
      <c r="K56" s="12"/>
      <c r="L56" s="32">
        <v>589.61999999999989</v>
      </c>
    </row>
    <row r="57" spans="1:12" ht="13.5" thickTop="1" x14ac:dyDescent="0.2">
      <c r="B57" s="11"/>
      <c r="C57" s="27"/>
      <c r="D57" s="33"/>
      <c r="E57" s="30"/>
      <c r="F57" s="30"/>
      <c r="G57" s="30"/>
      <c r="H57" s="31"/>
      <c r="I57" s="12"/>
      <c r="J57" s="29"/>
      <c r="K57" s="12"/>
      <c r="L57" s="34"/>
    </row>
    <row r="61" spans="1:12" ht="59.65" customHeight="1" x14ac:dyDescent="0.25">
      <c r="C61"/>
      <c r="D61"/>
      <c r="E61"/>
      <c r="F61"/>
      <c r="G61"/>
      <c r="H61"/>
      <c r="I61"/>
      <c r="J61"/>
      <c r="K61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3FD3868D-61BC-45A1-89C7-185CB12C3CC7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848A-2CE5-444D-85DD-0156E3B77B24}">
  <sheetPr>
    <tabColor rgb="FFFFFF00"/>
    <pageSetUpPr fitToPage="1"/>
  </sheetPr>
  <dimension ref="A1:O37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235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236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4</v>
      </c>
      <c r="B20" s="12" t="s">
        <v>21</v>
      </c>
      <c r="C20" s="13">
        <v>4725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4274890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x14ac:dyDescent="0.2">
      <c r="A25" s="20">
        <v>189</v>
      </c>
      <c r="B25" s="21">
        <v>483</v>
      </c>
      <c r="C25" s="22" t="s">
        <v>237</v>
      </c>
      <c r="D25" s="23">
        <v>68679935</v>
      </c>
      <c r="E25" s="24" t="s">
        <v>238</v>
      </c>
      <c r="F25" s="25">
        <v>45937</v>
      </c>
      <c r="G25" s="24">
        <v>3062650</v>
      </c>
      <c r="H25" s="22" t="s">
        <v>84</v>
      </c>
      <c r="I25" s="24" t="s">
        <v>85</v>
      </c>
      <c r="J25" s="26">
        <v>20</v>
      </c>
      <c r="K25" s="26">
        <v>10.93</v>
      </c>
      <c r="L25" s="26">
        <v>9.07</v>
      </c>
      <c r="N25" s="35"/>
      <c r="O25" s="35"/>
    </row>
    <row r="26" spans="1:15" x14ac:dyDescent="0.2">
      <c r="A26" s="20">
        <v>190</v>
      </c>
      <c r="B26" s="21">
        <v>483</v>
      </c>
      <c r="C26" s="22" t="s">
        <v>237</v>
      </c>
      <c r="D26" s="23">
        <v>68679935</v>
      </c>
      <c r="E26" s="24" t="s">
        <v>238</v>
      </c>
      <c r="F26" s="25">
        <v>45950</v>
      </c>
      <c r="G26" s="24">
        <v>3062650</v>
      </c>
      <c r="H26" s="22" t="s">
        <v>84</v>
      </c>
      <c r="I26" s="24" t="s">
        <v>85</v>
      </c>
      <c r="J26" s="26">
        <v>20</v>
      </c>
      <c r="K26" s="26">
        <v>10.93</v>
      </c>
      <c r="L26" s="26">
        <v>9.07</v>
      </c>
      <c r="N26" s="35"/>
      <c r="O26" s="35"/>
    </row>
    <row r="27" spans="1:15" x14ac:dyDescent="0.2">
      <c r="A27" s="20">
        <v>191</v>
      </c>
      <c r="B27" s="21">
        <v>483</v>
      </c>
      <c r="C27" s="22" t="s">
        <v>237</v>
      </c>
      <c r="D27" s="23">
        <v>68679935</v>
      </c>
      <c r="E27" s="24" t="s">
        <v>238</v>
      </c>
      <c r="F27" s="25">
        <v>45937</v>
      </c>
      <c r="G27" s="24">
        <v>3074176</v>
      </c>
      <c r="H27" s="22" t="s">
        <v>44</v>
      </c>
      <c r="I27" s="24" t="s">
        <v>45</v>
      </c>
      <c r="J27" s="26">
        <v>70</v>
      </c>
      <c r="K27" s="26">
        <v>60.35</v>
      </c>
      <c r="L27" s="26">
        <v>9.65</v>
      </c>
      <c r="N27" s="35"/>
      <c r="O27" s="35"/>
    </row>
    <row r="28" spans="1:15" x14ac:dyDescent="0.2">
      <c r="A28" s="20">
        <v>192</v>
      </c>
      <c r="B28" s="21">
        <v>483</v>
      </c>
      <c r="C28" s="22" t="s">
        <v>237</v>
      </c>
      <c r="D28" s="23">
        <v>68679935</v>
      </c>
      <c r="E28" s="24" t="s">
        <v>238</v>
      </c>
      <c r="F28" s="25">
        <v>45950</v>
      </c>
      <c r="G28" s="24">
        <v>3074176</v>
      </c>
      <c r="H28" s="22" t="s">
        <v>44</v>
      </c>
      <c r="I28" s="24" t="s">
        <v>45</v>
      </c>
      <c r="J28" s="26">
        <v>70</v>
      </c>
      <c r="K28" s="26">
        <v>60.35</v>
      </c>
      <c r="L28" s="26">
        <v>9.65</v>
      </c>
      <c r="N28" s="35"/>
      <c r="O28" s="35"/>
    </row>
    <row r="29" spans="1:15" x14ac:dyDescent="0.2">
      <c r="B29" s="11"/>
      <c r="C29" s="27"/>
      <c r="D29" s="28"/>
      <c r="E29" s="11"/>
      <c r="F29" s="11"/>
      <c r="G29" s="11"/>
      <c r="H29" s="29"/>
      <c r="I29" s="29"/>
      <c r="J29" s="29"/>
      <c r="K29" s="34"/>
      <c r="L29" s="12"/>
    </row>
    <row r="30" spans="1:15" x14ac:dyDescent="0.2">
      <c r="B30" s="11"/>
      <c r="C30" s="27"/>
      <c r="D30" s="28"/>
      <c r="E30" s="14"/>
      <c r="F30" s="14"/>
      <c r="G30" s="14"/>
      <c r="H30" s="14"/>
      <c r="I30" s="29"/>
      <c r="J30" s="29"/>
      <c r="K30" s="12"/>
      <c r="L30" s="12"/>
    </row>
    <row r="31" spans="1:15" x14ac:dyDescent="0.2">
      <c r="B31" s="11"/>
      <c r="C31" s="27"/>
      <c r="D31" s="28"/>
      <c r="E31" s="11"/>
      <c r="F31" s="12"/>
      <c r="G31" s="12"/>
      <c r="H31" s="12"/>
      <c r="I31" s="29"/>
      <c r="J31" s="29"/>
      <c r="K31" s="12"/>
      <c r="L31" s="12"/>
    </row>
    <row r="32" spans="1:15" ht="13.5" thickBot="1" x14ac:dyDescent="0.25">
      <c r="B32" s="11"/>
      <c r="C32" s="27"/>
      <c r="D32" s="12" t="s">
        <v>46</v>
      </c>
      <c r="E32" s="30"/>
      <c r="F32" s="30"/>
      <c r="G32" s="30"/>
      <c r="H32" s="31"/>
      <c r="I32" s="12"/>
      <c r="J32" s="29"/>
      <c r="K32" s="12"/>
      <c r="L32" s="32">
        <v>37.44</v>
      </c>
    </row>
    <row r="33" spans="2:12" ht="13.5" thickTop="1" x14ac:dyDescent="0.2">
      <c r="B33" s="11"/>
      <c r="C33" s="27"/>
      <c r="D33" s="33"/>
      <c r="E33" s="30"/>
      <c r="F33" s="30"/>
      <c r="G33" s="30"/>
      <c r="H33" s="31"/>
      <c r="I33" s="12"/>
      <c r="J33" s="29"/>
      <c r="K33" s="12"/>
      <c r="L33" s="34"/>
    </row>
    <row r="37" spans="2:12" ht="59.65" customHeight="1" x14ac:dyDescent="0.25">
      <c r="C37"/>
      <c r="D37"/>
      <c r="E37"/>
      <c r="F37"/>
      <c r="G37"/>
      <c r="H37"/>
      <c r="I37"/>
      <c r="J37"/>
      <c r="K3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522EE3E4-F1D3-4A85-B6AE-DEA6EB9D4577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248E-5877-4EA0-9321-C95CF5ADEF16}">
  <sheetPr>
    <tabColor rgb="FFFFFF00"/>
    <pageSetUpPr fitToPage="1"/>
  </sheetPr>
  <dimension ref="A1:O42"/>
  <sheetViews>
    <sheetView topLeftCell="B14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239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240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9</v>
      </c>
      <c r="B20" s="12" t="s">
        <v>21</v>
      </c>
      <c r="C20" s="13">
        <v>3932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4274210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x14ac:dyDescent="0.2">
      <c r="A25" s="20">
        <v>105</v>
      </c>
      <c r="B25" s="21">
        <v>483</v>
      </c>
      <c r="C25" s="22" t="s">
        <v>241</v>
      </c>
      <c r="D25" s="23">
        <v>68686187</v>
      </c>
      <c r="E25" s="24" t="s">
        <v>242</v>
      </c>
      <c r="F25" s="25">
        <v>45938</v>
      </c>
      <c r="G25" s="24">
        <v>3062650</v>
      </c>
      <c r="H25" s="22" t="s">
        <v>84</v>
      </c>
      <c r="I25" s="24" t="s">
        <v>85</v>
      </c>
      <c r="J25" s="26">
        <v>20</v>
      </c>
      <c r="K25" s="26">
        <v>10.93</v>
      </c>
      <c r="L25" s="26">
        <v>9.07</v>
      </c>
      <c r="N25" s="35"/>
      <c r="O25" s="35"/>
    </row>
    <row r="26" spans="1:15" x14ac:dyDescent="0.2">
      <c r="A26" s="20">
        <v>106</v>
      </c>
      <c r="B26" s="21">
        <v>483</v>
      </c>
      <c r="C26" s="22" t="s">
        <v>241</v>
      </c>
      <c r="D26" s="23">
        <v>68686187</v>
      </c>
      <c r="E26" s="24" t="s">
        <v>242</v>
      </c>
      <c r="F26" s="25">
        <v>45938</v>
      </c>
      <c r="G26" s="24">
        <v>3074085</v>
      </c>
      <c r="H26" s="22" t="s">
        <v>74</v>
      </c>
      <c r="I26" s="24" t="s">
        <v>75</v>
      </c>
      <c r="J26" s="26">
        <v>42</v>
      </c>
      <c r="K26" s="26">
        <v>33.54</v>
      </c>
      <c r="L26" s="26">
        <v>8.4600000000000009</v>
      </c>
      <c r="N26" s="35"/>
      <c r="O26" s="35"/>
    </row>
    <row r="27" spans="1:15" x14ac:dyDescent="0.2">
      <c r="A27" s="20">
        <v>107</v>
      </c>
      <c r="B27" s="21">
        <v>483</v>
      </c>
      <c r="C27" s="22" t="s">
        <v>241</v>
      </c>
      <c r="D27" s="23">
        <v>68686187</v>
      </c>
      <c r="E27" s="24" t="s">
        <v>242</v>
      </c>
      <c r="F27" s="25">
        <v>45938</v>
      </c>
      <c r="G27" s="24">
        <v>3074176</v>
      </c>
      <c r="H27" s="22" t="s">
        <v>44</v>
      </c>
      <c r="I27" s="24" t="s">
        <v>45</v>
      </c>
      <c r="J27" s="26">
        <v>70</v>
      </c>
      <c r="K27" s="26">
        <v>60.35</v>
      </c>
      <c r="L27" s="26">
        <v>9.65</v>
      </c>
      <c r="N27" s="35"/>
      <c r="O27" s="35"/>
    </row>
    <row r="28" spans="1:15" ht="22.5" x14ac:dyDescent="0.2">
      <c r="A28" s="20">
        <v>108</v>
      </c>
      <c r="B28" s="21">
        <v>483</v>
      </c>
      <c r="C28" s="22" t="s">
        <v>241</v>
      </c>
      <c r="D28" s="23">
        <v>68686187</v>
      </c>
      <c r="E28" s="24" t="s">
        <v>242</v>
      </c>
      <c r="F28" s="25">
        <v>45938</v>
      </c>
      <c r="G28" s="24">
        <v>3076254</v>
      </c>
      <c r="H28" s="22" t="s">
        <v>141</v>
      </c>
      <c r="I28" s="24" t="s">
        <v>142</v>
      </c>
      <c r="J28" s="26">
        <v>70</v>
      </c>
      <c r="K28" s="26">
        <v>57.37</v>
      </c>
      <c r="L28" s="26">
        <v>12.63</v>
      </c>
      <c r="N28" s="35"/>
      <c r="O28" s="35"/>
    </row>
    <row r="29" spans="1:15" ht="33.75" x14ac:dyDescent="0.2">
      <c r="A29" s="20">
        <v>109</v>
      </c>
      <c r="B29" s="21">
        <v>483</v>
      </c>
      <c r="C29" s="22" t="s">
        <v>241</v>
      </c>
      <c r="D29" s="23">
        <v>68686187</v>
      </c>
      <c r="E29" s="24" t="s">
        <v>242</v>
      </c>
      <c r="F29" s="25">
        <v>45938</v>
      </c>
      <c r="G29" s="24">
        <v>3076437</v>
      </c>
      <c r="H29" s="22" t="s">
        <v>225</v>
      </c>
      <c r="I29" s="24" t="s">
        <v>226</v>
      </c>
      <c r="J29" s="26">
        <v>43</v>
      </c>
      <c r="K29" s="26">
        <v>23.15</v>
      </c>
      <c r="L29" s="26">
        <v>19.850000000000001</v>
      </c>
      <c r="N29" s="35"/>
      <c r="O29" s="35"/>
    </row>
    <row r="30" spans="1:15" ht="33.75" x14ac:dyDescent="0.2">
      <c r="A30" s="20">
        <v>110</v>
      </c>
      <c r="B30" s="21">
        <v>483</v>
      </c>
      <c r="C30" s="22" t="s">
        <v>241</v>
      </c>
      <c r="D30" s="23">
        <v>68686187</v>
      </c>
      <c r="E30" s="24" t="s">
        <v>242</v>
      </c>
      <c r="F30" s="25">
        <v>45938</v>
      </c>
      <c r="G30" s="24">
        <v>3076486</v>
      </c>
      <c r="H30" s="22" t="s">
        <v>92</v>
      </c>
      <c r="I30" s="24" t="s">
        <v>93</v>
      </c>
      <c r="J30" s="26">
        <v>93</v>
      </c>
      <c r="K30" s="26">
        <v>69.48</v>
      </c>
      <c r="L30" s="26">
        <v>23.52</v>
      </c>
      <c r="N30" s="35"/>
      <c r="O30" s="35"/>
    </row>
    <row r="31" spans="1:15" x14ac:dyDescent="0.2">
      <c r="A31" s="20">
        <v>111</v>
      </c>
      <c r="B31" s="21">
        <v>483</v>
      </c>
      <c r="C31" s="22" t="s">
        <v>241</v>
      </c>
      <c r="D31" s="23">
        <v>68686187</v>
      </c>
      <c r="E31" s="24" t="s">
        <v>242</v>
      </c>
      <c r="F31" s="25">
        <v>45938</v>
      </c>
      <c r="G31" s="24">
        <v>3077559</v>
      </c>
      <c r="H31" s="22" t="s">
        <v>128</v>
      </c>
      <c r="I31" s="24" t="s">
        <v>129</v>
      </c>
      <c r="J31" s="26">
        <v>82</v>
      </c>
      <c r="K31" s="26">
        <v>74.75</v>
      </c>
      <c r="L31" s="26">
        <v>7.25</v>
      </c>
      <c r="N31" s="35"/>
      <c r="O31" s="35"/>
    </row>
    <row r="32" spans="1:15" ht="22.5" x14ac:dyDescent="0.2">
      <c r="A32" s="20">
        <v>112</v>
      </c>
      <c r="B32" s="21">
        <v>483</v>
      </c>
      <c r="C32" s="22" t="s">
        <v>241</v>
      </c>
      <c r="D32" s="23">
        <v>68686187</v>
      </c>
      <c r="E32" s="24" t="s">
        <v>242</v>
      </c>
      <c r="F32" s="25">
        <v>45938</v>
      </c>
      <c r="G32" s="24">
        <v>3088119</v>
      </c>
      <c r="H32" s="22" t="s">
        <v>104</v>
      </c>
      <c r="I32" s="24" t="s">
        <v>105</v>
      </c>
      <c r="J32" s="26">
        <v>47</v>
      </c>
      <c r="K32" s="26">
        <v>42.56</v>
      </c>
      <c r="L32" s="26">
        <v>4.4400000000000004</v>
      </c>
      <c r="N32" s="35"/>
      <c r="O32" s="35"/>
    </row>
    <row r="33" spans="1:15" ht="22.5" x14ac:dyDescent="0.2">
      <c r="A33" s="20">
        <v>113</v>
      </c>
      <c r="B33" s="21">
        <v>483</v>
      </c>
      <c r="C33" s="22" t="s">
        <v>241</v>
      </c>
      <c r="D33" s="23">
        <v>68686187</v>
      </c>
      <c r="E33" s="24" t="s">
        <v>242</v>
      </c>
      <c r="F33" s="25">
        <v>45938</v>
      </c>
      <c r="G33" s="24">
        <v>7301021</v>
      </c>
      <c r="H33" s="22" t="s">
        <v>152</v>
      </c>
      <c r="I33" s="24" t="s">
        <v>153</v>
      </c>
      <c r="J33" s="26">
        <v>189</v>
      </c>
      <c r="K33" s="26">
        <v>124.97</v>
      </c>
      <c r="L33" s="26">
        <v>64.03</v>
      </c>
      <c r="N33" s="35"/>
      <c r="O33" s="35"/>
    </row>
    <row r="34" spans="1:15" x14ac:dyDescent="0.2">
      <c r="B34" s="11"/>
      <c r="C34" s="27"/>
      <c r="D34" s="28"/>
      <c r="E34" s="11"/>
      <c r="F34" s="11"/>
      <c r="G34" s="11"/>
      <c r="H34" s="29"/>
      <c r="I34" s="29"/>
      <c r="J34" s="29"/>
      <c r="K34" s="34"/>
      <c r="L34" s="12"/>
    </row>
    <row r="35" spans="1:15" x14ac:dyDescent="0.2">
      <c r="B35" s="11"/>
      <c r="C35" s="27"/>
      <c r="D35" s="28"/>
      <c r="E35" s="14"/>
      <c r="F35" s="14"/>
      <c r="G35" s="14"/>
      <c r="H35" s="14"/>
      <c r="I35" s="29"/>
      <c r="J35" s="29"/>
      <c r="K35" s="12"/>
      <c r="L35" s="12"/>
    </row>
    <row r="36" spans="1:15" x14ac:dyDescent="0.2">
      <c r="B36" s="11"/>
      <c r="C36" s="27"/>
      <c r="D36" s="28"/>
      <c r="E36" s="11"/>
      <c r="F36" s="12"/>
      <c r="G36" s="12"/>
      <c r="H36" s="12"/>
      <c r="I36" s="29"/>
      <c r="J36" s="29"/>
      <c r="K36" s="12"/>
      <c r="L36" s="12"/>
    </row>
    <row r="37" spans="1:15" ht="13.5" thickBot="1" x14ac:dyDescent="0.25">
      <c r="B37" s="11"/>
      <c r="C37" s="27"/>
      <c r="D37" s="12" t="s">
        <v>46</v>
      </c>
      <c r="E37" s="30"/>
      <c r="F37" s="30"/>
      <c r="G37" s="30"/>
      <c r="H37" s="31"/>
      <c r="I37" s="12"/>
      <c r="J37" s="29"/>
      <c r="K37" s="12"/>
      <c r="L37" s="32">
        <v>158.9</v>
      </c>
    </row>
    <row r="38" spans="1:15" ht="13.5" thickTop="1" x14ac:dyDescent="0.2">
      <c r="B38" s="11"/>
      <c r="C38" s="27"/>
      <c r="D38" s="33"/>
      <c r="E38" s="30"/>
      <c r="F38" s="30"/>
      <c r="G38" s="30"/>
      <c r="H38" s="31"/>
      <c r="I38" s="12"/>
      <c r="J38" s="29"/>
      <c r="K38" s="12"/>
      <c r="L38" s="34"/>
    </row>
    <row r="42" spans="1:15" ht="59.65" customHeight="1" x14ac:dyDescent="0.25">
      <c r="C42"/>
      <c r="D42"/>
      <c r="E42"/>
      <c r="F42"/>
      <c r="G42"/>
      <c r="H42"/>
      <c r="I42"/>
      <c r="J42"/>
      <c r="K42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D197CC8C-45D4-4937-8F54-31AC8D39B642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8DE6-00E4-48F6-A2B6-55310C4F2FCF}">
  <sheetPr>
    <tabColor rgb="FFFFFF00"/>
    <pageSetUpPr fitToPage="1"/>
  </sheetPr>
  <dimension ref="A1:O48"/>
  <sheetViews>
    <sheetView topLeftCell="B29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243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244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15</v>
      </c>
      <c r="B20" s="12" t="s">
        <v>21</v>
      </c>
      <c r="C20" s="13">
        <v>2006796061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4253580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331</v>
      </c>
      <c r="B25" s="21">
        <v>483</v>
      </c>
      <c r="C25" s="22" t="s">
        <v>245</v>
      </c>
      <c r="D25" s="23">
        <v>68717925</v>
      </c>
      <c r="E25" s="24" t="s">
        <v>246</v>
      </c>
      <c r="F25" s="25">
        <v>45936</v>
      </c>
      <c r="G25" s="24">
        <v>3076254</v>
      </c>
      <c r="H25" s="22" t="s">
        <v>141</v>
      </c>
      <c r="I25" s="24" t="s">
        <v>142</v>
      </c>
      <c r="J25" s="26">
        <v>70</v>
      </c>
      <c r="K25" s="26">
        <v>57.37</v>
      </c>
      <c r="L25" s="26">
        <v>12.63</v>
      </c>
      <c r="N25" s="35"/>
      <c r="O25" s="35"/>
    </row>
    <row r="26" spans="1:15" ht="22.5" x14ac:dyDescent="0.2">
      <c r="A26" s="20">
        <v>332</v>
      </c>
      <c r="B26" s="21">
        <v>483</v>
      </c>
      <c r="C26" s="22" t="s">
        <v>245</v>
      </c>
      <c r="D26" s="23">
        <v>68717925</v>
      </c>
      <c r="E26" s="24" t="s">
        <v>246</v>
      </c>
      <c r="F26" s="25">
        <v>45943</v>
      </c>
      <c r="G26" s="24">
        <v>3076254</v>
      </c>
      <c r="H26" s="22" t="s">
        <v>141</v>
      </c>
      <c r="I26" s="24" t="s">
        <v>142</v>
      </c>
      <c r="J26" s="26">
        <v>70</v>
      </c>
      <c r="K26" s="26">
        <v>57.37</v>
      </c>
      <c r="L26" s="26">
        <v>12.63</v>
      </c>
      <c r="N26" s="35"/>
      <c r="O26" s="35"/>
    </row>
    <row r="27" spans="1:15" ht="33.75" x14ac:dyDescent="0.2">
      <c r="A27" s="20">
        <v>333</v>
      </c>
      <c r="B27" s="21">
        <v>483</v>
      </c>
      <c r="C27" s="22" t="s">
        <v>245</v>
      </c>
      <c r="D27" s="23">
        <v>68717925</v>
      </c>
      <c r="E27" s="24" t="s">
        <v>246</v>
      </c>
      <c r="F27" s="25">
        <v>45936</v>
      </c>
      <c r="G27" s="24">
        <v>3076437</v>
      </c>
      <c r="H27" s="22" t="s">
        <v>225</v>
      </c>
      <c r="I27" s="24" t="s">
        <v>226</v>
      </c>
      <c r="J27" s="26">
        <v>43</v>
      </c>
      <c r="K27" s="26">
        <v>23.15</v>
      </c>
      <c r="L27" s="26">
        <v>19.850000000000001</v>
      </c>
      <c r="N27" s="35"/>
      <c r="O27" s="35"/>
    </row>
    <row r="28" spans="1:15" ht="33.75" x14ac:dyDescent="0.2">
      <c r="A28" s="20">
        <v>334</v>
      </c>
      <c r="B28" s="21">
        <v>483</v>
      </c>
      <c r="C28" s="22" t="s">
        <v>245</v>
      </c>
      <c r="D28" s="23">
        <v>68717925</v>
      </c>
      <c r="E28" s="24" t="s">
        <v>246</v>
      </c>
      <c r="F28" s="25">
        <v>45943</v>
      </c>
      <c r="G28" s="24">
        <v>3076437</v>
      </c>
      <c r="H28" s="22" t="s">
        <v>225</v>
      </c>
      <c r="I28" s="24" t="s">
        <v>226</v>
      </c>
      <c r="J28" s="26">
        <v>43</v>
      </c>
      <c r="K28" s="26">
        <v>23.15</v>
      </c>
      <c r="L28" s="26">
        <v>19.850000000000001</v>
      </c>
      <c r="N28" s="35"/>
      <c r="O28" s="35"/>
    </row>
    <row r="29" spans="1:15" ht="33.75" x14ac:dyDescent="0.2">
      <c r="A29" s="20">
        <v>335</v>
      </c>
      <c r="B29" s="21">
        <v>483</v>
      </c>
      <c r="C29" s="22" t="s">
        <v>245</v>
      </c>
      <c r="D29" s="23">
        <v>68717925</v>
      </c>
      <c r="E29" s="24" t="s">
        <v>246</v>
      </c>
      <c r="F29" s="25">
        <v>45936</v>
      </c>
      <c r="G29" s="24">
        <v>3076486</v>
      </c>
      <c r="H29" s="22" t="s">
        <v>92</v>
      </c>
      <c r="I29" s="24" t="s">
        <v>93</v>
      </c>
      <c r="J29" s="26">
        <v>93</v>
      </c>
      <c r="K29" s="26">
        <v>69.48</v>
      </c>
      <c r="L29" s="26">
        <v>23.52</v>
      </c>
      <c r="N29" s="35"/>
      <c r="O29" s="35"/>
    </row>
    <row r="30" spans="1:15" ht="33.75" x14ac:dyDescent="0.2">
      <c r="A30" s="20">
        <v>336</v>
      </c>
      <c r="B30" s="21">
        <v>483</v>
      </c>
      <c r="C30" s="22" t="s">
        <v>245</v>
      </c>
      <c r="D30" s="23">
        <v>68717925</v>
      </c>
      <c r="E30" s="24" t="s">
        <v>246</v>
      </c>
      <c r="F30" s="25">
        <v>45943</v>
      </c>
      <c r="G30" s="24">
        <v>3076486</v>
      </c>
      <c r="H30" s="22" t="s">
        <v>92</v>
      </c>
      <c r="I30" s="24" t="s">
        <v>93</v>
      </c>
      <c r="J30" s="26">
        <v>93</v>
      </c>
      <c r="K30" s="26">
        <v>69.48</v>
      </c>
      <c r="L30" s="26">
        <v>23.52</v>
      </c>
      <c r="N30" s="35"/>
      <c r="O30" s="35"/>
    </row>
    <row r="31" spans="1:15" ht="22.5" x14ac:dyDescent="0.2">
      <c r="A31" s="20">
        <v>337</v>
      </c>
      <c r="B31" s="21">
        <v>483</v>
      </c>
      <c r="C31" s="22" t="s">
        <v>245</v>
      </c>
      <c r="D31" s="23">
        <v>68717925</v>
      </c>
      <c r="E31" s="24" t="s">
        <v>246</v>
      </c>
      <c r="F31" s="25">
        <v>45936</v>
      </c>
      <c r="G31" s="24">
        <v>3086303</v>
      </c>
      <c r="H31" s="22" t="s">
        <v>98</v>
      </c>
      <c r="I31" s="24" t="s">
        <v>99</v>
      </c>
      <c r="J31" s="26">
        <v>66</v>
      </c>
      <c r="K31" s="26">
        <v>59.99</v>
      </c>
      <c r="L31" s="26">
        <v>6.01</v>
      </c>
      <c r="N31" s="35"/>
      <c r="O31" s="35"/>
    </row>
    <row r="32" spans="1:15" ht="22.5" x14ac:dyDescent="0.2">
      <c r="A32" s="20">
        <v>338</v>
      </c>
      <c r="B32" s="21">
        <v>483</v>
      </c>
      <c r="C32" s="22" t="s">
        <v>245</v>
      </c>
      <c r="D32" s="23">
        <v>68717925</v>
      </c>
      <c r="E32" s="24" t="s">
        <v>246</v>
      </c>
      <c r="F32" s="25">
        <v>45943</v>
      </c>
      <c r="G32" s="24">
        <v>3086303</v>
      </c>
      <c r="H32" s="22" t="s">
        <v>98</v>
      </c>
      <c r="I32" s="24" t="s">
        <v>99</v>
      </c>
      <c r="J32" s="26">
        <v>66</v>
      </c>
      <c r="K32" s="26">
        <v>59.99</v>
      </c>
      <c r="L32" s="26">
        <v>6.01</v>
      </c>
      <c r="N32" s="35"/>
      <c r="O32" s="35"/>
    </row>
    <row r="33" spans="1:15" ht="22.5" x14ac:dyDescent="0.2">
      <c r="A33" s="20">
        <v>339</v>
      </c>
      <c r="B33" s="21">
        <v>483</v>
      </c>
      <c r="C33" s="22" t="s">
        <v>245</v>
      </c>
      <c r="D33" s="23">
        <v>68717925</v>
      </c>
      <c r="E33" s="24" t="s">
        <v>246</v>
      </c>
      <c r="F33" s="25">
        <v>45936</v>
      </c>
      <c r="G33" s="24">
        <v>3086428</v>
      </c>
      <c r="H33" s="22" t="s">
        <v>100</v>
      </c>
      <c r="I33" s="24" t="s">
        <v>101</v>
      </c>
      <c r="J33" s="26">
        <v>62</v>
      </c>
      <c r="K33" s="26">
        <v>53.59</v>
      </c>
      <c r="L33" s="26">
        <v>8.41</v>
      </c>
      <c r="N33" s="35"/>
      <c r="O33" s="35"/>
    </row>
    <row r="34" spans="1:15" ht="22.5" x14ac:dyDescent="0.2">
      <c r="A34" s="20">
        <v>340</v>
      </c>
      <c r="B34" s="21">
        <v>483</v>
      </c>
      <c r="C34" s="22" t="s">
        <v>245</v>
      </c>
      <c r="D34" s="23">
        <v>68717925</v>
      </c>
      <c r="E34" s="24" t="s">
        <v>246</v>
      </c>
      <c r="F34" s="25">
        <v>45943</v>
      </c>
      <c r="G34" s="24">
        <v>3086428</v>
      </c>
      <c r="H34" s="22" t="s">
        <v>100</v>
      </c>
      <c r="I34" s="24" t="s">
        <v>101</v>
      </c>
      <c r="J34" s="26">
        <v>62</v>
      </c>
      <c r="K34" s="26">
        <v>53.59</v>
      </c>
      <c r="L34" s="26">
        <v>8.41</v>
      </c>
      <c r="N34" s="35"/>
      <c r="O34" s="35"/>
    </row>
    <row r="35" spans="1:15" ht="22.5" x14ac:dyDescent="0.2">
      <c r="A35" s="20">
        <v>341</v>
      </c>
      <c r="B35" s="21">
        <v>483</v>
      </c>
      <c r="C35" s="22" t="s">
        <v>247</v>
      </c>
      <c r="D35" s="23">
        <v>68744796</v>
      </c>
      <c r="E35" s="24" t="s">
        <v>248</v>
      </c>
      <c r="F35" s="25">
        <v>45946</v>
      </c>
      <c r="G35" s="24">
        <v>3076254</v>
      </c>
      <c r="H35" s="22" t="s">
        <v>141</v>
      </c>
      <c r="I35" s="24" t="s">
        <v>142</v>
      </c>
      <c r="J35" s="26">
        <v>70</v>
      </c>
      <c r="K35" s="26">
        <v>57.37</v>
      </c>
      <c r="L35" s="26">
        <v>12.63</v>
      </c>
      <c r="N35" s="35"/>
      <c r="O35" s="35"/>
    </row>
    <row r="36" spans="1:15" ht="33.75" x14ac:dyDescent="0.2">
      <c r="A36" s="20">
        <v>342</v>
      </c>
      <c r="B36" s="21">
        <v>483</v>
      </c>
      <c r="C36" s="22" t="s">
        <v>247</v>
      </c>
      <c r="D36" s="23">
        <v>68744796</v>
      </c>
      <c r="E36" s="24" t="s">
        <v>248</v>
      </c>
      <c r="F36" s="25">
        <v>45946</v>
      </c>
      <c r="G36" s="24">
        <v>3076437</v>
      </c>
      <c r="H36" s="22" t="s">
        <v>225</v>
      </c>
      <c r="I36" s="24" t="s">
        <v>226</v>
      </c>
      <c r="J36" s="26">
        <v>43</v>
      </c>
      <c r="K36" s="26">
        <v>23.15</v>
      </c>
      <c r="L36" s="26">
        <v>19.850000000000001</v>
      </c>
      <c r="N36" s="35"/>
      <c r="O36" s="35"/>
    </row>
    <row r="37" spans="1:15" ht="33.75" x14ac:dyDescent="0.2">
      <c r="A37" s="20">
        <v>343</v>
      </c>
      <c r="B37" s="21">
        <v>483</v>
      </c>
      <c r="C37" s="22" t="s">
        <v>247</v>
      </c>
      <c r="D37" s="23">
        <v>68744796</v>
      </c>
      <c r="E37" s="24" t="s">
        <v>248</v>
      </c>
      <c r="F37" s="25">
        <v>45946</v>
      </c>
      <c r="G37" s="24">
        <v>3076486</v>
      </c>
      <c r="H37" s="22" t="s">
        <v>92</v>
      </c>
      <c r="I37" s="24" t="s">
        <v>93</v>
      </c>
      <c r="J37" s="26">
        <v>93</v>
      </c>
      <c r="K37" s="26">
        <v>69.48</v>
      </c>
      <c r="L37" s="26">
        <v>23.52</v>
      </c>
      <c r="N37" s="35"/>
      <c r="O37" s="35"/>
    </row>
    <row r="38" spans="1:15" ht="22.5" x14ac:dyDescent="0.2">
      <c r="A38" s="20">
        <v>344</v>
      </c>
      <c r="B38" s="21">
        <v>483</v>
      </c>
      <c r="C38" s="22" t="s">
        <v>247</v>
      </c>
      <c r="D38" s="23">
        <v>68744796</v>
      </c>
      <c r="E38" s="24" t="s">
        <v>248</v>
      </c>
      <c r="F38" s="25">
        <v>45946</v>
      </c>
      <c r="G38" s="24">
        <v>3086303</v>
      </c>
      <c r="H38" s="22" t="s">
        <v>98</v>
      </c>
      <c r="I38" s="24" t="s">
        <v>99</v>
      </c>
      <c r="J38" s="26">
        <v>66</v>
      </c>
      <c r="K38" s="26">
        <v>59.99</v>
      </c>
      <c r="L38" s="26">
        <v>6.01</v>
      </c>
      <c r="N38" s="35"/>
      <c r="O38" s="35"/>
    </row>
    <row r="39" spans="1:15" ht="22.5" x14ac:dyDescent="0.2">
      <c r="A39" s="20">
        <v>345</v>
      </c>
      <c r="B39" s="21">
        <v>483</v>
      </c>
      <c r="C39" s="22" t="s">
        <v>247</v>
      </c>
      <c r="D39" s="23">
        <v>68744796</v>
      </c>
      <c r="E39" s="24" t="s">
        <v>248</v>
      </c>
      <c r="F39" s="25">
        <v>45946</v>
      </c>
      <c r="G39" s="24">
        <v>3086428</v>
      </c>
      <c r="H39" s="22" t="s">
        <v>100</v>
      </c>
      <c r="I39" s="24" t="s">
        <v>101</v>
      </c>
      <c r="J39" s="26">
        <v>62</v>
      </c>
      <c r="K39" s="26">
        <v>53.59</v>
      </c>
      <c r="L39" s="26">
        <v>8.41</v>
      </c>
      <c r="N39" s="35"/>
      <c r="O39" s="35"/>
    </row>
    <row r="40" spans="1:15" x14ac:dyDescent="0.2">
      <c r="B40" s="11"/>
      <c r="C40" s="27"/>
      <c r="D40" s="28"/>
      <c r="E40" s="11"/>
      <c r="F40" s="11"/>
      <c r="G40" s="11"/>
      <c r="H40" s="29"/>
      <c r="I40" s="29"/>
      <c r="J40" s="29"/>
      <c r="K40" s="34"/>
      <c r="L40" s="12"/>
    </row>
    <row r="41" spans="1:15" x14ac:dyDescent="0.2">
      <c r="B41" s="11"/>
      <c r="C41" s="27"/>
      <c r="D41" s="28"/>
      <c r="E41" s="14"/>
      <c r="F41" s="14"/>
      <c r="G41" s="14"/>
      <c r="H41" s="14"/>
      <c r="I41" s="29"/>
      <c r="J41" s="29"/>
      <c r="K41" s="12"/>
      <c r="L41" s="12"/>
    </row>
    <row r="42" spans="1:15" x14ac:dyDescent="0.2">
      <c r="B42" s="11"/>
      <c r="C42" s="27"/>
      <c r="D42" s="28"/>
      <c r="E42" s="11"/>
      <c r="F42" s="12"/>
      <c r="G42" s="12"/>
      <c r="H42" s="12"/>
      <c r="I42" s="29"/>
      <c r="J42" s="29"/>
      <c r="K42" s="12"/>
      <c r="L42" s="12"/>
    </row>
    <row r="43" spans="1:15" ht="13.5" thickBot="1" x14ac:dyDescent="0.25">
      <c r="B43" s="11"/>
      <c r="C43" s="27"/>
      <c r="D43" s="12" t="s">
        <v>46</v>
      </c>
      <c r="E43" s="30"/>
      <c r="F43" s="30"/>
      <c r="G43" s="30"/>
      <c r="H43" s="31"/>
      <c r="I43" s="12"/>
      <c r="J43" s="29"/>
      <c r="K43" s="12"/>
      <c r="L43" s="32">
        <v>211.26</v>
      </c>
    </row>
    <row r="44" spans="1:15" ht="13.5" thickTop="1" x14ac:dyDescent="0.2">
      <c r="B44" s="11"/>
      <c r="C44" s="27"/>
      <c r="D44" s="33"/>
      <c r="E44" s="30"/>
      <c r="F44" s="30"/>
      <c r="G44" s="30"/>
      <c r="H44" s="31"/>
      <c r="I44" s="12"/>
      <c r="J44" s="29"/>
      <c r="K44" s="12"/>
      <c r="L44" s="34"/>
    </row>
    <row r="48" spans="1:15" ht="59.65" customHeight="1" x14ac:dyDescent="0.25">
      <c r="C48"/>
      <c r="D48"/>
      <c r="E48"/>
      <c r="F48"/>
      <c r="G48"/>
      <c r="H48"/>
      <c r="I48"/>
      <c r="J48"/>
      <c r="K48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4B49DF7F-76D1-4C2A-A18F-46BD0ED5161E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2D6E-1B6A-4310-AC5A-92652681D7CA}">
  <sheetPr>
    <tabColor rgb="FFFFFF00"/>
    <pageSetUpPr fitToPage="1"/>
  </sheetPr>
  <dimension ref="A1:L40"/>
  <sheetViews>
    <sheetView topLeftCell="B23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3" style="2" customWidth="1"/>
    <col min="3" max="3" width="14.42578125" style="2" customWidth="1"/>
    <col min="4" max="4" width="11.140625" style="2" customWidth="1"/>
    <col min="5" max="5" width="16.5703125" style="2" customWidth="1"/>
    <col min="6" max="7" width="11.42578125" style="2" customWidth="1"/>
    <col min="8" max="8" width="8.85546875" style="2"/>
    <col min="9" max="9" width="19.7109375" style="2" customWidth="1"/>
    <col min="10" max="10" width="10.42578125" style="2" customWidth="1"/>
    <col min="11" max="11" width="11.7109375" style="2" customWidth="1"/>
    <col min="12" max="12" width="9.710937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249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250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7</v>
      </c>
      <c r="B20" s="12" t="s">
        <v>21</v>
      </c>
      <c r="C20" s="13">
        <v>2077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4267560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ht="22.5" x14ac:dyDescent="0.2">
      <c r="A25" s="20">
        <v>54</v>
      </c>
      <c r="B25" s="21">
        <v>483</v>
      </c>
      <c r="C25" s="22" t="s">
        <v>251</v>
      </c>
      <c r="D25" s="23">
        <v>68787464</v>
      </c>
      <c r="E25" s="24" t="s">
        <v>252</v>
      </c>
      <c r="F25" s="25">
        <v>45950</v>
      </c>
      <c r="G25" s="24">
        <v>3073061</v>
      </c>
      <c r="H25" s="22" t="s">
        <v>42</v>
      </c>
      <c r="I25" s="24" t="s">
        <v>43</v>
      </c>
      <c r="J25" s="26">
        <v>22</v>
      </c>
      <c r="K25" s="26">
        <v>11.92</v>
      </c>
      <c r="L25" s="26">
        <v>10.08</v>
      </c>
    </row>
    <row r="26" spans="1:12" ht="22.5" x14ac:dyDescent="0.2">
      <c r="A26" s="20">
        <v>55</v>
      </c>
      <c r="B26" s="21">
        <v>483</v>
      </c>
      <c r="C26" s="22" t="s">
        <v>251</v>
      </c>
      <c r="D26" s="23">
        <v>68787464</v>
      </c>
      <c r="E26" s="24" t="s">
        <v>252</v>
      </c>
      <c r="F26" s="25">
        <v>45950</v>
      </c>
      <c r="G26" s="24">
        <v>3074085</v>
      </c>
      <c r="H26" s="22" t="s">
        <v>74</v>
      </c>
      <c r="I26" s="24" t="s">
        <v>75</v>
      </c>
      <c r="J26" s="26">
        <v>42</v>
      </c>
      <c r="K26" s="26">
        <v>33.54</v>
      </c>
      <c r="L26" s="26">
        <v>8.4600000000000009</v>
      </c>
    </row>
    <row r="27" spans="1:12" ht="22.5" x14ac:dyDescent="0.2">
      <c r="A27" s="20">
        <v>56</v>
      </c>
      <c r="B27" s="21">
        <v>483</v>
      </c>
      <c r="C27" s="22" t="s">
        <v>251</v>
      </c>
      <c r="D27" s="23">
        <v>68787464</v>
      </c>
      <c r="E27" s="24" t="s">
        <v>252</v>
      </c>
      <c r="F27" s="25">
        <v>45950</v>
      </c>
      <c r="G27" s="24">
        <v>3076544</v>
      </c>
      <c r="H27" s="22" t="s">
        <v>76</v>
      </c>
      <c r="I27" s="24" t="s">
        <v>77</v>
      </c>
      <c r="J27" s="26">
        <v>102</v>
      </c>
      <c r="K27" s="26">
        <v>95.67</v>
      </c>
      <c r="L27" s="26">
        <v>6.33</v>
      </c>
    </row>
    <row r="28" spans="1:12" ht="22.5" x14ac:dyDescent="0.2">
      <c r="A28" s="20">
        <v>57</v>
      </c>
      <c r="B28" s="21">
        <v>483</v>
      </c>
      <c r="C28" s="22" t="s">
        <v>251</v>
      </c>
      <c r="D28" s="23">
        <v>68787464</v>
      </c>
      <c r="E28" s="24" t="s">
        <v>252</v>
      </c>
      <c r="F28" s="25">
        <v>45950</v>
      </c>
      <c r="G28" s="24">
        <v>3077559</v>
      </c>
      <c r="H28" s="22" t="s">
        <v>128</v>
      </c>
      <c r="I28" s="24" t="s">
        <v>129</v>
      </c>
      <c r="J28" s="26">
        <v>82</v>
      </c>
      <c r="K28" s="26">
        <v>74.75</v>
      </c>
      <c r="L28" s="26">
        <v>7.25</v>
      </c>
    </row>
    <row r="29" spans="1:12" ht="22.5" x14ac:dyDescent="0.2">
      <c r="A29" s="20">
        <v>58</v>
      </c>
      <c r="B29" s="21">
        <v>483</v>
      </c>
      <c r="C29" s="22" t="s">
        <v>251</v>
      </c>
      <c r="D29" s="23">
        <v>68787464</v>
      </c>
      <c r="E29" s="24" t="s">
        <v>252</v>
      </c>
      <c r="F29" s="25">
        <v>45950</v>
      </c>
      <c r="G29" s="24">
        <v>3086303</v>
      </c>
      <c r="H29" s="22" t="s">
        <v>98</v>
      </c>
      <c r="I29" s="24" t="s">
        <v>99</v>
      </c>
      <c r="J29" s="26">
        <v>66</v>
      </c>
      <c r="K29" s="26">
        <v>59.99</v>
      </c>
      <c r="L29" s="26">
        <v>6.01</v>
      </c>
    </row>
    <row r="30" spans="1:12" ht="22.5" x14ac:dyDescent="0.2">
      <c r="A30" s="20">
        <v>59</v>
      </c>
      <c r="B30" s="21">
        <v>483</v>
      </c>
      <c r="C30" s="22" t="s">
        <v>251</v>
      </c>
      <c r="D30" s="23">
        <v>68787464</v>
      </c>
      <c r="E30" s="24" t="s">
        <v>252</v>
      </c>
      <c r="F30" s="25">
        <v>45950</v>
      </c>
      <c r="G30" s="24">
        <v>3086428</v>
      </c>
      <c r="H30" s="22" t="s">
        <v>100</v>
      </c>
      <c r="I30" s="24" t="s">
        <v>101</v>
      </c>
      <c r="J30" s="26">
        <v>62</v>
      </c>
      <c r="K30" s="26">
        <v>53.59</v>
      </c>
      <c r="L30" s="26">
        <v>8.41</v>
      </c>
    </row>
    <row r="31" spans="1:12" ht="22.5" x14ac:dyDescent="0.2">
      <c r="A31" s="20">
        <v>60</v>
      </c>
      <c r="B31" s="21">
        <v>483</v>
      </c>
      <c r="C31" s="22" t="s">
        <v>251</v>
      </c>
      <c r="D31" s="23">
        <v>68787464</v>
      </c>
      <c r="E31" s="24" t="s">
        <v>252</v>
      </c>
      <c r="F31" s="25">
        <v>45950</v>
      </c>
      <c r="G31" s="24">
        <v>3111630</v>
      </c>
      <c r="H31" s="22" t="s">
        <v>253</v>
      </c>
      <c r="I31" s="24" t="s">
        <v>254</v>
      </c>
      <c r="J31" s="26">
        <v>110</v>
      </c>
      <c r="K31" s="26">
        <v>71.89</v>
      </c>
      <c r="L31" s="26">
        <v>38.11</v>
      </c>
    </row>
    <row r="32" spans="1:12" x14ac:dyDescent="0.2">
      <c r="B32" s="11"/>
      <c r="C32" s="27"/>
      <c r="D32" s="28"/>
      <c r="E32" s="11"/>
      <c r="F32" s="11"/>
      <c r="G32" s="11"/>
      <c r="H32" s="29"/>
      <c r="I32" s="29"/>
      <c r="J32" s="29"/>
      <c r="K32" s="12"/>
      <c r="L32" s="12"/>
    </row>
    <row r="33" spans="2:12" x14ac:dyDescent="0.2">
      <c r="B33" s="11"/>
      <c r="C33" s="27"/>
      <c r="D33" s="28"/>
      <c r="E33" s="14"/>
      <c r="F33" s="14"/>
      <c r="G33" s="14"/>
      <c r="H33" s="14"/>
      <c r="I33" s="29"/>
      <c r="J33" s="29"/>
      <c r="K33" s="12"/>
      <c r="L33" s="12"/>
    </row>
    <row r="34" spans="2:12" x14ac:dyDescent="0.2">
      <c r="B34" s="11"/>
      <c r="C34" s="27"/>
      <c r="D34" s="28"/>
      <c r="E34" s="11"/>
      <c r="F34" s="12"/>
      <c r="G34" s="12"/>
      <c r="H34" s="12"/>
      <c r="I34" s="29"/>
      <c r="J34" s="29"/>
      <c r="K34" s="12"/>
      <c r="L34" s="12"/>
    </row>
    <row r="35" spans="2:12" ht="13.5" thickBot="1" x14ac:dyDescent="0.25">
      <c r="B35" s="11"/>
      <c r="C35" s="27"/>
      <c r="D35" s="12" t="s">
        <v>46</v>
      </c>
      <c r="E35" s="30"/>
      <c r="F35" s="30"/>
      <c r="G35" s="30"/>
      <c r="H35" s="31"/>
      <c r="I35" s="12"/>
      <c r="J35" s="29"/>
      <c r="K35" s="12"/>
      <c r="L35" s="32">
        <v>84.649999999999991</v>
      </c>
    </row>
    <row r="36" spans="2:12" ht="13.5" thickTop="1" x14ac:dyDescent="0.2">
      <c r="B36" s="11"/>
      <c r="C36" s="27"/>
      <c r="D36" s="33"/>
      <c r="E36" s="30"/>
      <c r="F36" s="30"/>
      <c r="G36" s="30"/>
      <c r="H36" s="31"/>
      <c r="I36" s="12"/>
      <c r="J36" s="29"/>
      <c r="K36" s="12"/>
      <c r="L36" s="34"/>
    </row>
    <row r="40" spans="2:12" ht="59.65" customHeight="1" x14ac:dyDescent="0.25">
      <c r="C40"/>
      <c r="D40"/>
      <c r="E40"/>
      <c r="F40"/>
      <c r="G40"/>
      <c r="H40"/>
      <c r="I40"/>
      <c r="J40"/>
      <c r="K40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C6B75FFB-9BF2-4D9D-8FF7-348C44FC9973}">
      <formula1>#REF!</formula1>
    </dataValidation>
  </dataValidations>
  <pageMargins left="0.25" right="0.25" top="0.5" bottom="0.5" header="0.3" footer="0.3"/>
  <pageSetup scale="97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D163-3785-499C-9B45-9654C5A023CD}">
  <sheetPr>
    <tabColor rgb="FFFFFF00"/>
    <pageSetUpPr fitToPage="1"/>
  </sheetPr>
  <dimension ref="A1:L38"/>
  <sheetViews>
    <sheetView topLeftCell="B20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4.140625" style="2" customWidth="1"/>
    <col min="3" max="3" width="14.710937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" style="2" customWidth="1"/>
    <col min="11" max="11" width="11.140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255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256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5</v>
      </c>
      <c r="B20" s="12" t="s">
        <v>21</v>
      </c>
      <c r="C20" s="13">
        <v>3820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4273860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ht="22.5" x14ac:dyDescent="0.2">
      <c r="A25" s="20">
        <v>97</v>
      </c>
      <c r="B25" s="21">
        <v>483</v>
      </c>
      <c r="C25" s="22" t="s">
        <v>257</v>
      </c>
      <c r="D25" s="23">
        <v>68686138</v>
      </c>
      <c r="E25" s="24" t="s">
        <v>258</v>
      </c>
      <c r="F25" s="25">
        <v>45938</v>
      </c>
      <c r="G25" s="24">
        <v>3074192</v>
      </c>
      <c r="H25" s="22" t="s">
        <v>139</v>
      </c>
      <c r="I25" s="24" t="s">
        <v>140</v>
      </c>
      <c r="J25" s="26">
        <v>135</v>
      </c>
      <c r="K25" s="26">
        <v>116.25</v>
      </c>
      <c r="L25" s="26">
        <v>18.75</v>
      </c>
    </row>
    <row r="26" spans="1:12" ht="22.5" x14ac:dyDescent="0.2">
      <c r="A26" s="20">
        <v>98</v>
      </c>
      <c r="B26" s="21">
        <v>483</v>
      </c>
      <c r="C26" s="22" t="s">
        <v>257</v>
      </c>
      <c r="D26" s="23">
        <v>68686138</v>
      </c>
      <c r="E26" s="24" t="s">
        <v>258</v>
      </c>
      <c r="F26" s="25">
        <v>45938</v>
      </c>
      <c r="G26" s="24">
        <v>3086303</v>
      </c>
      <c r="H26" s="22" t="s">
        <v>98</v>
      </c>
      <c r="I26" s="24" t="s">
        <v>99</v>
      </c>
      <c r="J26" s="26">
        <v>66</v>
      </c>
      <c r="K26" s="26">
        <v>59.99</v>
      </c>
      <c r="L26" s="26">
        <v>6.01</v>
      </c>
    </row>
    <row r="27" spans="1:12" ht="22.5" x14ac:dyDescent="0.2">
      <c r="A27" s="20">
        <v>99</v>
      </c>
      <c r="B27" s="21">
        <v>483</v>
      </c>
      <c r="C27" s="22" t="s">
        <v>257</v>
      </c>
      <c r="D27" s="23">
        <v>68686138</v>
      </c>
      <c r="E27" s="24" t="s">
        <v>258</v>
      </c>
      <c r="F27" s="25">
        <v>45938</v>
      </c>
      <c r="G27" s="24">
        <v>3086428</v>
      </c>
      <c r="H27" s="22" t="s">
        <v>100</v>
      </c>
      <c r="I27" s="24" t="s">
        <v>101</v>
      </c>
      <c r="J27" s="26">
        <v>62</v>
      </c>
      <c r="K27" s="26">
        <v>53.59</v>
      </c>
      <c r="L27" s="26">
        <v>8.41</v>
      </c>
    </row>
    <row r="28" spans="1:12" ht="22.5" x14ac:dyDescent="0.2">
      <c r="A28" s="20">
        <v>100</v>
      </c>
      <c r="B28" s="21">
        <v>483</v>
      </c>
      <c r="C28" s="22" t="s">
        <v>257</v>
      </c>
      <c r="D28" s="23">
        <v>68686138</v>
      </c>
      <c r="E28" s="24" t="s">
        <v>258</v>
      </c>
      <c r="F28" s="25">
        <v>45938</v>
      </c>
      <c r="G28" s="24">
        <v>3088119</v>
      </c>
      <c r="H28" s="22" t="s">
        <v>104</v>
      </c>
      <c r="I28" s="24" t="s">
        <v>105</v>
      </c>
      <c r="J28" s="26">
        <v>47</v>
      </c>
      <c r="K28" s="26">
        <v>42.56</v>
      </c>
      <c r="L28" s="26">
        <v>4.4400000000000004</v>
      </c>
    </row>
    <row r="29" spans="1:12" ht="22.5" x14ac:dyDescent="0.2">
      <c r="A29" s="20">
        <v>101</v>
      </c>
      <c r="B29" s="21">
        <v>483</v>
      </c>
      <c r="C29" s="22" t="s">
        <v>257</v>
      </c>
      <c r="D29" s="23">
        <v>68686138</v>
      </c>
      <c r="E29" s="24" t="s">
        <v>258</v>
      </c>
      <c r="F29" s="25">
        <v>45938</v>
      </c>
      <c r="G29" s="24">
        <v>7301021</v>
      </c>
      <c r="H29" s="22" t="s">
        <v>152</v>
      </c>
      <c r="I29" s="24" t="s">
        <v>153</v>
      </c>
      <c r="J29" s="26">
        <v>189</v>
      </c>
      <c r="K29" s="26">
        <v>124.97</v>
      </c>
      <c r="L29" s="26">
        <v>64.03</v>
      </c>
    </row>
    <row r="30" spans="1:12" x14ac:dyDescent="0.2">
      <c r="B30" s="11"/>
      <c r="C30" s="27"/>
      <c r="D30" s="28"/>
      <c r="E30" s="11"/>
      <c r="F30" s="11"/>
      <c r="G30" s="11"/>
      <c r="H30" s="29"/>
      <c r="I30" s="29"/>
      <c r="J30" s="29"/>
      <c r="K30" s="12"/>
      <c r="L30" s="12"/>
    </row>
    <row r="31" spans="1:12" x14ac:dyDescent="0.2">
      <c r="B31" s="11"/>
      <c r="C31" s="27"/>
      <c r="D31" s="28"/>
      <c r="E31" s="14"/>
      <c r="F31" s="14"/>
      <c r="G31" s="14"/>
      <c r="H31" s="14"/>
      <c r="I31" s="29"/>
      <c r="J31" s="29"/>
      <c r="K31" s="12"/>
      <c r="L31" s="12"/>
    </row>
    <row r="32" spans="1:12" x14ac:dyDescent="0.2">
      <c r="B32" s="11"/>
      <c r="C32" s="27"/>
      <c r="D32" s="28"/>
      <c r="E32" s="11"/>
      <c r="F32" s="12"/>
      <c r="G32" s="12"/>
      <c r="H32" s="12"/>
      <c r="I32" s="29"/>
      <c r="J32" s="29"/>
      <c r="K32" s="12"/>
      <c r="L32" s="12"/>
    </row>
    <row r="33" spans="2:12" ht="13.5" thickBot="1" x14ac:dyDescent="0.25">
      <c r="B33" s="11"/>
      <c r="C33" s="27"/>
      <c r="D33" s="12" t="s">
        <v>46</v>
      </c>
      <c r="E33" s="30"/>
      <c r="F33" s="30"/>
      <c r="G33" s="30"/>
      <c r="H33" s="31"/>
      <c r="I33" s="12"/>
      <c r="J33" s="29"/>
      <c r="K33" s="12"/>
      <c r="L33" s="32">
        <v>101.64</v>
      </c>
    </row>
    <row r="34" spans="2:12" ht="13.5" thickTop="1" x14ac:dyDescent="0.2">
      <c r="B34" s="11"/>
      <c r="C34" s="27"/>
      <c r="D34" s="33"/>
      <c r="E34" s="30"/>
      <c r="F34" s="30"/>
      <c r="G34" s="30"/>
      <c r="H34" s="31"/>
      <c r="I34" s="12"/>
      <c r="J34" s="29"/>
      <c r="K34" s="12"/>
      <c r="L34" s="34"/>
    </row>
    <row r="38" spans="2:12" ht="59.65" customHeight="1" x14ac:dyDescent="0.25">
      <c r="C38"/>
      <c r="D38"/>
      <c r="E38"/>
      <c r="F38"/>
      <c r="G38"/>
      <c r="H38"/>
      <c r="I38"/>
      <c r="J38"/>
      <c r="K38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7E3B8849-4AFB-45DE-9398-C7119357ADDE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F8CA-4BC8-4FF9-85AC-BBBA112CE856}">
  <sheetPr>
    <tabColor rgb="FFFFFF00"/>
    <pageSetUpPr fitToPage="1"/>
  </sheetPr>
  <dimension ref="A1:O34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259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260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1</v>
      </c>
      <c r="B20" s="12" t="s">
        <v>21</v>
      </c>
      <c r="C20" s="13">
        <v>4985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4277450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193</v>
      </c>
      <c r="B25" s="21">
        <v>483</v>
      </c>
      <c r="C25" s="22" t="s">
        <v>261</v>
      </c>
      <c r="D25" s="23">
        <v>68772524</v>
      </c>
      <c r="E25" s="24" t="s">
        <v>262</v>
      </c>
      <c r="F25" s="25">
        <v>45950</v>
      </c>
      <c r="G25" s="24">
        <v>3086428</v>
      </c>
      <c r="H25" s="22" t="s">
        <v>100</v>
      </c>
      <c r="I25" s="24" t="s">
        <v>101</v>
      </c>
      <c r="J25" s="26">
        <v>62</v>
      </c>
      <c r="K25" s="26">
        <v>53.59</v>
      </c>
      <c r="L25" s="26">
        <v>8.41</v>
      </c>
      <c r="N25" s="35"/>
      <c r="O25" s="35"/>
    </row>
    <row r="26" spans="1:15" x14ac:dyDescent="0.2">
      <c r="B26" s="11"/>
      <c r="C26" s="27"/>
      <c r="D26" s="28"/>
      <c r="E26" s="11"/>
      <c r="F26" s="11"/>
      <c r="G26" s="11"/>
      <c r="H26" s="29"/>
      <c r="I26" s="29"/>
      <c r="J26" s="29"/>
      <c r="K26" s="34"/>
      <c r="L26" s="12"/>
    </row>
    <row r="27" spans="1:15" x14ac:dyDescent="0.2">
      <c r="B27" s="11"/>
      <c r="C27" s="27"/>
      <c r="D27" s="28"/>
      <c r="E27" s="14"/>
      <c r="F27" s="14"/>
      <c r="G27" s="14"/>
      <c r="H27" s="14"/>
      <c r="I27" s="29"/>
      <c r="J27" s="29"/>
      <c r="K27" s="12"/>
      <c r="L27" s="12"/>
    </row>
    <row r="28" spans="1:15" x14ac:dyDescent="0.2">
      <c r="B28" s="11"/>
      <c r="C28" s="27"/>
      <c r="D28" s="28"/>
      <c r="E28" s="11"/>
      <c r="F28" s="12"/>
      <c r="G28" s="12"/>
      <c r="H28" s="12"/>
      <c r="I28" s="29"/>
      <c r="J28" s="29"/>
      <c r="K28" s="12"/>
      <c r="L28" s="12"/>
    </row>
    <row r="29" spans="1:15" ht="13.5" thickBot="1" x14ac:dyDescent="0.25">
      <c r="B29" s="11"/>
      <c r="C29" s="27"/>
      <c r="D29" s="12" t="s">
        <v>46</v>
      </c>
      <c r="E29" s="30"/>
      <c r="F29" s="30"/>
      <c r="G29" s="30"/>
      <c r="H29" s="31"/>
      <c r="I29" s="12"/>
      <c r="J29" s="29"/>
      <c r="K29" s="12"/>
      <c r="L29" s="32">
        <v>8.41</v>
      </c>
    </row>
    <row r="30" spans="1:15" ht="13.5" thickTop="1" x14ac:dyDescent="0.2">
      <c r="B30" s="11"/>
      <c r="C30" s="27"/>
      <c r="D30" s="33"/>
      <c r="E30" s="30"/>
      <c r="F30" s="30"/>
      <c r="G30" s="30"/>
      <c r="H30" s="31"/>
      <c r="I30" s="12"/>
      <c r="J30" s="29"/>
      <c r="K30" s="12"/>
      <c r="L30" s="34"/>
    </row>
    <row r="34" spans="3:11" ht="59.65" customHeight="1" x14ac:dyDescent="0.25">
      <c r="C34"/>
      <c r="D34"/>
      <c r="E34"/>
      <c r="F34"/>
      <c r="G34"/>
      <c r="H34"/>
      <c r="I34"/>
      <c r="J34"/>
      <c r="K34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0828E5AA-28F9-4641-8F76-2457566DEEF2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3641-B1B3-4BB1-B6D6-123FC3BFA73F}">
  <sheetPr>
    <tabColor rgb="FFFFFF00"/>
    <pageSetUpPr fitToPage="1"/>
  </sheetPr>
  <dimension ref="A1:O43"/>
  <sheetViews>
    <sheetView topLeftCell="B27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4.140625" style="2" customWidth="1"/>
    <col min="3" max="3" width="12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85546875" style="2" customWidth="1"/>
    <col min="11" max="11" width="11.28515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263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264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10</v>
      </c>
      <c r="B20" s="12" t="s">
        <v>21</v>
      </c>
      <c r="C20" s="13">
        <v>1160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4263410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20</v>
      </c>
      <c r="B25" s="21">
        <v>483</v>
      </c>
      <c r="C25" s="22" t="s">
        <v>265</v>
      </c>
      <c r="D25" s="23">
        <v>68645621</v>
      </c>
      <c r="E25" s="24" t="s">
        <v>266</v>
      </c>
      <c r="F25" s="25">
        <v>45931</v>
      </c>
      <c r="G25" s="24">
        <v>3063823</v>
      </c>
      <c r="H25" s="22" t="s">
        <v>267</v>
      </c>
      <c r="I25" s="24" t="s">
        <v>268</v>
      </c>
      <c r="J25" s="26">
        <v>89</v>
      </c>
      <c r="K25" s="26">
        <v>79.89</v>
      </c>
      <c r="L25" s="26">
        <v>9.11</v>
      </c>
      <c r="N25" s="35"/>
      <c r="O25" s="35"/>
    </row>
    <row r="26" spans="1:15" ht="22.5" x14ac:dyDescent="0.2">
      <c r="A26" s="20">
        <v>21</v>
      </c>
      <c r="B26" s="21">
        <v>483</v>
      </c>
      <c r="C26" s="22" t="s">
        <v>265</v>
      </c>
      <c r="D26" s="23">
        <v>68645621</v>
      </c>
      <c r="E26" s="24" t="s">
        <v>266</v>
      </c>
      <c r="F26" s="25">
        <v>45931</v>
      </c>
      <c r="G26" s="24">
        <v>3076254</v>
      </c>
      <c r="H26" s="22" t="s">
        <v>141</v>
      </c>
      <c r="I26" s="24" t="s">
        <v>142</v>
      </c>
      <c r="J26" s="26">
        <v>70</v>
      </c>
      <c r="K26" s="26">
        <v>57.37</v>
      </c>
      <c r="L26" s="26">
        <v>12.63</v>
      </c>
      <c r="N26" s="35"/>
      <c r="O26" s="35"/>
    </row>
    <row r="27" spans="1:15" ht="33.75" x14ac:dyDescent="0.2">
      <c r="A27" s="20">
        <v>22</v>
      </c>
      <c r="B27" s="21">
        <v>483</v>
      </c>
      <c r="C27" s="22" t="s">
        <v>265</v>
      </c>
      <c r="D27" s="23">
        <v>68645621</v>
      </c>
      <c r="E27" s="24" t="s">
        <v>266</v>
      </c>
      <c r="F27" s="25">
        <v>45931</v>
      </c>
      <c r="G27" s="24">
        <v>3076411</v>
      </c>
      <c r="H27" s="22" t="s">
        <v>269</v>
      </c>
      <c r="I27" s="24" t="s">
        <v>270</v>
      </c>
      <c r="J27" s="26">
        <v>54</v>
      </c>
      <c r="K27" s="26">
        <v>30.28</v>
      </c>
      <c r="L27" s="26">
        <v>23.72</v>
      </c>
      <c r="N27" s="35"/>
      <c r="O27" s="35"/>
    </row>
    <row r="28" spans="1:15" ht="33.75" x14ac:dyDescent="0.2">
      <c r="A28" s="20">
        <v>23</v>
      </c>
      <c r="B28" s="21">
        <v>483</v>
      </c>
      <c r="C28" s="22" t="s">
        <v>265</v>
      </c>
      <c r="D28" s="23">
        <v>68645621</v>
      </c>
      <c r="E28" s="24" t="s">
        <v>266</v>
      </c>
      <c r="F28" s="25">
        <v>45931</v>
      </c>
      <c r="G28" s="24">
        <v>3076486</v>
      </c>
      <c r="H28" s="22" t="s">
        <v>92</v>
      </c>
      <c r="I28" s="24" t="s">
        <v>93</v>
      </c>
      <c r="J28" s="26">
        <v>93</v>
      </c>
      <c r="K28" s="26">
        <v>69.48</v>
      </c>
      <c r="L28" s="26">
        <v>23.52</v>
      </c>
      <c r="N28" s="35"/>
      <c r="O28" s="35"/>
    </row>
    <row r="29" spans="1:15" x14ac:dyDescent="0.2">
      <c r="A29" s="20">
        <v>24</v>
      </c>
      <c r="B29" s="21">
        <v>483</v>
      </c>
      <c r="C29" s="22" t="s">
        <v>265</v>
      </c>
      <c r="D29" s="23">
        <v>68645621</v>
      </c>
      <c r="E29" s="24" t="s">
        <v>266</v>
      </c>
      <c r="F29" s="25">
        <v>45931</v>
      </c>
      <c r="G29" s="24">
        <v>3076544</v>
      </c>
      <c r="H29" s="22" t="s">
        <v>76</v>
      </c>
      <c r="I29" s="24" t="s">
        <v>77</v>
      </c>
      <c r="J29" s="26">
        <v>102</v>
      </c>
      <c r="K29" s="26">
        <v>95.67</v>
      </c>
      <c r="L29" s="26">
        <v>6.33</v>
      </c>
      <c r="N29" s="35"/>
      <c r="O29" s="35"/>
    </row>
    <row r="30" spans="1:15" ht="22.5" x14ac:dyDescent="0.2">
      <c r="A30" s="20">
        <v>25</v>
      </c>
      <c r="B30" s="21">
        <v>483</v>
      </c>
      <c r="C30" s="22" t="s">
        <v>265</v>
      </c>
      <c r="D30" s="23">
        <v>68645621</v>
      </c>
      <c r="E30" s="24" t="s">
        <v>266</v>
      </c>
      <c r="F30" s="25">
        <v>45931</v>
      </c>
      <c r="G30" s="24">
        <v>3086303</v>
      </c>
      <c r="H30" s="22" t="s">
        <v>98</v>
      </c>
      <c r="I30" s="24" t="s">
        <v>99</v>
      </c>
      <c r="J30" s="26">
        <v>66</v>
      </c>
      <c r="K30" s="26">
        <v>59.99</v>
      </c>
      <c r="L30" s="26">
        <v>6.01</v>
      </c>
      <c r="N30" s="35"/>
      <c r="O30" s="35"/>
    </row>
    <row r="31" spans="1:15" ht="22.5" x14ac:dyDescent="0.2">
      <c r="A31" s="20">
        <v>26</v>
      </c>
      <c r="B31" s="21">
        <v>483</v>
      </c>
      <c r="C31" s="22" t="s">
        <v>265</v>
      </c>
      <c r="D31" s="23">
        <v>68645621</v>
      </c>
      <c r="E31" s="24" t="s">
        <v>266</v>
      </c>
      <c r="F31" s="25">
        <v>45931</v>
      </c>
      <c r="G31" s="24">
        <v>3086428</v>
      </c>
      <c r="H31" s="22" t="s">
        <v>100</v>
      </c>
      <c r="I31" s="24" t="s">
        <v>101</v>
      </c>
      <c r="J31" s="26">
        <v>62</v>
      </c>
      <c r="K31" s="26">
        <v>53.59</v>
      </c>
      <c r="L31" s="26">
        <v>8.41</v>
      </c>
      <c r="N31" s="35"/>
      <c r="O31" s="35"/>
    </row>
    <row r="32" spans="1:15" ht="22.5" x14ac:dyDescent="0.2">
      <c r="A32" s="20">
        <v>27</v>
      </c>
      <c r="B32" s="21">
        <v>483</v>
      </c>
      <c r="C32" s="22" t="s">
        <v>265</v>
      </c>
      <c r="D32" s="23">
        <v>68645621</v>
      </c>
      <c r="E32" s="24" t="s">
        <v>266</v>
      </c>
      <c r="F32" s="25">
        <v>45931</v>
      </c>
      <c r="G32" s="24">
        <v>7301021</v>
      </c>
      <c r="H32" s="22" t="s">
        <v>152</v>
      </c>
      <c r="I32" s="24" t="s">
        <v>153</v>
      </c>
      <c r="J32" s="26">
        <v>189</v>
      </c>
      <c r="K32" s="26">
        <v>124.97</v>
      </c>
      <c r="L32" s="26">
        <v>64.03</v>
      </c>
      <c r="N32" s="35"/>
      <c r="O32" s="35"/>
    </row>
    <row r="33" spans="1:15" ht="22.5" x14ac:dyDescent="0.2">
      <c r="A33" s="20">
        <v>28</v>
      </c>
      <c r="B33" s="21">
        <v>483</v>
      </c>
      <c r="C33" s="22" t="s">
        <v>265</v>
      </c>
      <c r="D33" s="23">
        <v>68645621</v>
      </c>
      <c r="E33" s="24" t="s">
        <v>266</v>
      </c>
      <c r="F33" s="25">
        <v>45938</v>
      </c>
      <c r="G33" s="24">
        <v>7301021</v>
      </c>
      <c r="H33" s="22" t="s">
        <v>152</v>
      </c>
      <c r="I33" s="24" t="s">
        <v>153</v>
      </c>
      <c r="J33" s="26">
        <v>189</v>
      </c>
      <c r="K33" s="26">
        <v>124.97</v>
      </c>
      <c r="L33" s="26">
        <v>64.03</v>
      </c>
      <c r="N33" s="35"/>
      <c r="O33" s="35"/>
    </row>
    <row r="34" spans="1:15" ht="22.5" x14ac:dyDescent="0.2">
      <c r="A34" s="20">
        <v>29</v>
      </c>
      <c r="B34" s="21">
        <v>483</v>
      </c>
      <c r="C34" s="22" t="s">
        <v>265</v>
      </c>
      <c r="D34" s="23">
        <v>68645621</v>
      </c>
      <c r="E34" s="24" t="s">
        <v>266</v>
      </c>
      <c r="F34" s="25">
        <v>45938</v>
      </c>
      <c r="G34" s="24">
        <v>7301021</v>
      </c>
      <c r="H34" s="22" t="s">
        <v>152</v>
      </c>
      <c r="I34" s="24" t="s">
        <v>153</v>
      </c>
      <c r="J34" s="26">
        <v>189</v>
      </c>
      <c r="K34" s="26">
        <v>124.97</v>
      </c>
      <c r="L34" s="26">
        <v>64.03</v>
      </c>
      <c r="N34" s="35"/>
      <c r="O34" s="35"/>
    </row>
    <row r="35" spans="1:15" x14ac:dyDescent="0.2">
      <c r="B35" s="11"/>
      <c r="C35" s="27"/>
      <c r="D35" s="28"/>
      <c r="E35" s="11"/>
      <c r="F35" s="11"/>
      <c r="G35" s="11"/>
      <c r="H35" s="29"/>
      <c r="I35" s="29"/>
      <c r="J35" s="29"/>
      <c r="K35" s="34"/>
      <c r="L35" s="12"/>
    </row>
    <row r="36" spans="1:15" x14ac:dyDescent="0.2">
      <c r="B36" s="11"/>
      <c r="C36" s="27"/>
      <c r="D36" s="28"/>
      <c r="E36" s="14"/>
      <c r="F36" s="14"/>
      <c r="G36" s="14"/>
      <c r="H36" s="14"/>
      <c r="I36" s="29"/>
      <c r="J36" s="29"/>
      <c r="K36" s="12"/>
      <c r="L36" s="12"/>
    </row>
    <row r="37" spans="1:15" x14ac:dyDescent="0.2">
      <c r="B37" s="11"/>
      <c r="C37" s="27"/>
      <c r="D37" s="28"/>
      <c r="E37" s="11"/>
      <c r="F37" s="12"/>
      <c r="G37" s="12"/>
      <c r="H37" s="12"/>
      <c r="I37" s="29"/>
      <c r="J37" s="29"/>
      <c r="K37" s="12"/>
      <c r="L37" s="12"/>
    </row>
    <row r="38" spans="1:15" ht="13.5" thickBot="1" x14ac:dyDescent="0.25">
      <c r="B38" s="11"/>
      <c r="C38" s="27"/>
      <c r="D38" s="12" t="s">
        <v>46</v>
      </c>
      <c r="E38" s="30"/>
      <c r="F38" s="30"/>
      <c r="G38" s="30"/>
      <c r="H38" s="31"/>
      <c r="I38" s="12"/>
      <c r="J38" s="29"/>
      <c r="K38" s="12"/>
      <c r="L38" s="32">
        <v>281.82</v>
      </c>
    </row>
    <row r="39" spans="1:15" ht="13.5" thickTop="1" x14ac:dyDescent="0.2">
      <c r="B39" s="11"/>
      <c r="C39" s="27"/>
      <c r="D39" s="33"/>
      <c r="E39" s="30"/>
      <c r="F39" s="30"/>
      <c r="G39" s="30"/>
      <c r="H39" s="31"/>
      <c r="I39" s="12"/>
      <c r="J39" s="29"/>
      <c r="K39" s="12"/>
      <c r="L39" s="34"/>
    </row>
    <row r="43" spans="1:15" ht="59.65" customHeight="1" x14ac:dyDescent="0.25">
      <c r="C43"/>
      <c r="D43"/>
      <c r="E43"/>
      <c r="F43"/>
      <c r="G43"/>
      <c r="H43"/>
      <c r="I43"/>
      <c r="J43"/>
      <c r="K43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0B2B7F66-B53E-4575-970F-315DF5FC8F31}">
      <formula1>#REF!</formula1>
    </dataValidation>
  </dataValidations>
  <pageMargins left="0.25" right="0.25" top="0.5" bottom="0.5" header="0.3" footer="0.3"/>
  <pageSetup scale="95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FF9F-5770-44DB-8E56-08AF4196E52C}">
  <sheetPr>
    <tabColor rgb="FFFFFF00"/>
    <pageSetUpPr fitToPage="1"/>
  </sheetPr>
  <dimension ref="A1:L34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4.140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28515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271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272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1</v>
      </c>
      <c r="B20" s="12" t="s">
        <v>21</v>
      </c>
      <c r="C20" s="13">
        <v>848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4261220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x14ac:dyDescent="0.2">
      <c r="A25" s="20">
        <v>19</v>
      </c>
      <c r="B25" s="21">
        <v>483</v>
      </c>
      <c r="C25" s="22" t="s">
        <v>273</v>
      </c>
      <c r="D25" s="23">
        <v>68633858</v>
      </c>
      <c r="E25" s="24" t="s">
        <v>274</v>
      </c>
      <c r="F25" s="25">
        <v>45931</v>
      </c>
      <c r="G25" s="24">
        <v>3073624</v>
      </c>
      <c r="H25" s="22" t="s">
        <v>217</v>
      </c>
      <c r="I25" s="24" t="s">
        <v>218</v>
      </c>
      <c r="J25" s="26">
        <v>125</v>
      </c>
      <c r="K25" s="26">
        <v>111.41</v>
      </c>
      <c r="L25" s="26">
        <v>13.59</v>
      </c>
    </row>
    <row r="26" spans="1:12" x14ac:dyDescent="0.2">
      <c r="B26" s="11"/>
      <c r="C26" s="27"/>
      <c r="D26" s="28"/>
      <c r="E26" s="11"/>
      <c r="F26" s="11"/>
      <c r="G26" s="11"/>
      <c r="H26" s="29"/>
      <c r="I26" s="29"/>
      <c r="J26" s="29"/>
      <c r="K26" s="12"/>
      <c r="L26" s="12"/>
    </row>
    <row r="27" spans="1:12" x14ac:dyDescent="0.2">
      <c r="B27" s="11"/>
      <c r="C27" s="27"/>
      <c r="D27" s="28"/>
      <c r="E27" s="14"/>
      <c r="F27" s="14"/>
      <c r="G27" s="14"/>
      <c r="H27" s="14"/>
      <c r="I27" s="29"/>
      <c r="J27" s="29"/>
      <c r="K27" s="12"/>
      <c r="L27" s="12"/>
    </row>
    <row r="28" spans="1:12" x14ac:dyDescent="0.2">
      <c r="B28" s="11"/>
      <c r="C28" s="27"/>
      <c r="D28" s="28"/>
      <c r="E28" s="11"/>
      <c r="F28" s="12"/>
      <c r="G28" s="12"/>
      <c r="H28" s="12"/>
      <c r="I28" s="29"/>
      <c r="J28" s="29"/>
      <c r="K28" s="12"/>
      <c r="L28" s="12"/>
    </row>
    <row r="29" spans="1:12" ht="13.5" thickBot="1" x14ac:dyDescent="0.25">
      <c r="B29" s="11"/>
      <c r="C29" s="27"/>
      <c r="D29" s="12" t="s">
        <v>46</v>
      </c>
      <c r="E29" s="30"/>
      <c r="F29" s="30"/>
      <c r="G29" s="30"/>
      <c r="H29" s="31"/>
      <c r="I29" s="12"/>
      <c r="J29" s="29"/>
      <c r="K29" s="12"/>
      <c r="L29" s="32">
        <v>13.59</v>
      </c>
    </row>
    <row r="30" spans="1:12" ht="13.5" thickTop="1" x14ac:dyDescent="0.2">
      <c r="B30" s="11"/>
      <c r="C30" s="27"/>
      <c r="D30" s="33"/>
      <c r="E30" s="30"/>
      <c r="F30" s="30"/>
      <c r="G30" s="30"/>
      <c r="H30" s="31"/>
      <c r="I30" s="12"/>
      <c r="J30" s="29"/>
      <c r="K30" s="12"/>
      <c r="L30" s="34"/>
    </row>
    <row r="34" spans="3:11" ht="59.65" customHeight="1" x14ac:dyDescent="0.25">
      <c r="C34"/>
      <c r="D34"/>
      <c r="E34"/>
      <c r="F34"/>
      <c r="G34"/>
      <c r="H34"/>
      <c r="I34"/>
      <c r="J34"/>
      <c r="K34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91271AD0-4C35-4D83-A7CA-75046F9C8A6B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F138-DC1D-456E-9C2C-55ED76DDB407}">
  <sheetPr>
    <tabColor rgb="FFFFFF00"/>
    <pageSetUpPr fitToPage="1"/>
  </sheetPr>
  <dimension ref="A1:O37"/>
  <sheetViews>
    <sheetView topLeftCell="B1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275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276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4</v>
      </c>
      <c r="B20" s="12" t="s">
        <v>21</v>
      </c>
      <c r="C20" s="13">
        <v>5740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4278560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301</v>
      </c>
      <c r="B25" s="21">
        <v>483</v>
      </c>
      <c r="C25" s="22" t="s">
        <v>277</v>
      </c>
      <c r="D25" s="23">
        <v>68874593</v>
      </c>
      <c r="E25" s="24" t="s">
        <v>278</v>
      </c>
      <c r="F25" s="25">
        <v>45957</v>
      </c>
      <c r="G25" s="24">
        <v>4818225</v>
      </c>
      <c r="H25" s="22" t="s">
        <v>66</v>
      </c>
      <c r="I25" s="24" t="s">
        <v>67</v>
      </c>
      <c r="J25" s="26">
        <v>2364</v>
      </c>
      <c r="K25" s="26">
        <v>1563.08</v>
      </c>
      <c r="L25" s="26">
        <v>800.92</v>
      </c>
      <c r="N25" s="35"/>
      <c r="O25" s="35"/>
    </row>
    <row r="26" spans="1:15" x14ac:dyDescent="0.2">
      <c r="A26" s="20">
        <v>302</v>
      </c>
      <c r="B26" s="21">
        <v>484</v>
      </c>
      <c r="C26" s="22" t="s">
        <v>277</v>
      </c>
      <c r="D26" s="23">
        <v>45937224</v>
      </c>
      <c r="E26" s="24" t="s">
        <v>278</v>
      </c>
      <c r="F26" s="25">
        <v>45959</v>
      </c>
      <c r="G26" s="24">
        <v>3522893</v>
      </c>
      <c r="H26" s="22" t="s">
        <v>63</v>
      </c>
      <c r="I26" s="24" t="s">
        <v>64</v>
      </c>
      <c r="J26" s="26">
        <v>2467</v>
      </c>
      <c r="K26" s="26">
        <v>1686.44</v>
      </c>
      <c r="L26" s="26">
        <v>780.56</v>
      </c>
      <c r="N26" s="35"/>
      <c r="O26" s="35"/>
    </row>
    <row r="27" spans="1:15" ht="22.5" x14ac:dyDescent="0.2">
      <c r="A27" s="20">
        <v>303</v>
      </c>
      <c r="B27" s="21">
        <v>484</v>
      </c>
      <c r="C27" s="22" t="s">
        <v>277</v>
      </c>
      <c r="D27" s="23">
        <v>45937224</v>
      </c>
      <c r="E27" s="24" t="s">
        <v>278</v>
      </c>
      <c r="F27" s="25">
        <v>45959</v>
      </c>
      <c r="G27" s="24">
        <v>3528965</v>
      </c>
      <c r="H27" s="22" t="s">
        <v>116</v>
      </c>
      <c r="I27" s="24" t="s">
        <v>117</v>
      </c>
      <c r="J27" s="26">
        <v>3299</v>
      </c>
      <c r="K27" s="26">
        <v>2255.1999999999998</v>
      </c>
      <c r="L27" s="26">
        <v>1043.8</v>
      </c>
      <c r="N27" s="35"/>
      <c r="O27" s="35"/>
    </row>
    <row r="28" spans="1:15" ht="22.5" x14ac:dyDescent="0.2">
      <c r="A28" s="20">
        <v>304</v>
      </c>
      <c r="B28" s="21">
        <v>484</v>
      </c>
      <c r="C28" s="22" t="s">
        <v>277</v>
      </c>
      <c r="D28" s="23">
        <v>45937224</v>
      </c>
      <c r="E28" s="24" t="s">
        <v>278</v>
      </c>
      <c r="F28" s="25">
        <v>45959</v>
      </c>
      <c r="G28" s="24">
        <v>6868061</v>
      </c>
      <c r="H28" s="22" t="s">
        <v>53</v>
      </c>
      <c r="I28" s="24" t="s">
        <v>65</v>
      </c>
      <c r="J28" s="26">
        <v>60</v>
      </c>
      <c r="K28" s="26">
        <v>41.01</v>
      </c>
      <c r="L28" s="26">
        <v>18.990000000000002</v>
      </c>
      <c r="N28" s="35"/>
      <c r="O28" s="35"/>
    </row>
    <row r="29" spans="1:15" x14ac:dyDescent="0.2">
      <c r="B29" s="11"/>
      <c r="C29" s="27"/>
      <c r="D29" s="28"/>
      <c r="E29" s="11"/>
      <c r="F29" s="11"/>
      <c r="G29" s="11"/>
      <c r="H29" s="29"/>
      <c r="I29" s="29"/>
      <c r="J29" s="29"/>
      <c r="K29" s="34"/>
      <c r="L29" s="12"/>
    </row>
    <row r="30" spans="1:15" x14ac:dyDescent="0.2">
      <c r="B30" s="11"/>
      <c r="C30" s="27"/>
      <c r="D30" s="28"/>
      <c r="E30" s="14"/>
      <c r="F30" s="14"/>
      <c r="G30" s="14"/>
      <c r="H30" s="14"/>
      <c r="I30" s="29"/>
      <c r="J30" s="29"/>
      <c r="K30" s="12"/>
      <c r="L30" s="12"/>
    </row>
    <row r="31" spans="1:15" x14ac:dyDescent="0.2">
      <c r="B31" s="11"/>
      <c r="C31" s="27"/>
      <c r="D31" s="28"/>
      <c r="E31" s="11"/>
      <c r="F31" s="12"/>
      <c r="G31" s="12"/>
      <c r="H31" s="12"/>
      <c r="I31" s="29"/>
      <c r="J31" s="29"/>
      <c r="K31" s="12"/>
      <c r="L31" s="12"/>
    </row>
    <row r="32" spans="1:15" ht="13.5" thickBot="1" x14ac:dyDescent="0.25">
      <c r="B32" s="11"/>
      <c r="C32" s="27"/>
      <c r="D32" s="12" t="s">
        <v>46</v>
      </c>
      <c r="E32" s="30"/>
      <c r="F32" s="30"/>
      <c r="G32" s="30"/>
      <c r="H32" s="31"/>
      <c r="I32" s="12"/>
      <c r="J32" s="29"/>
      <c r="K32" s="12"/>
      <c r="L32" s="32">
        <v>2644.2699999999995</v>
      </c>
    </row>
    <row r="33" spans="2:12" ht="13.5" thickTop="1" x14ac:dyDescent="0.2">
      <c r="B33" s="11"/>
      <c r="C33" s="27"/>
      <c r="D33" s="33"/>
      <c r="E33" s="30"/>
      <c r="F33" s="30"/>
      <c r="G33" s="30"/>
      <c r="H33" s="31"/>
      <c r="I33" s="12"/>
      <c r="J33" s="29"/>
      <c r="K33" s="12"/>
      <c r="L33" s="34"/>
    </row>
    <row r="37" spans="2:12" ht="59.65" customHeight="1" x14ac:dyDescent="0.25">
      <c r="C37"/>
      <c r="D37"/>
      <c r="E37"/>
      <c r="F37"/>
      <c r="G37"/>
      <c r="H37"/>
      <c r="I37"/>
      <c r="J37"/>
      <c r="K3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7A4C695D-7C40-48F8-871F-468916B2C80A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781D-56DC-48B3-99AB-EB74C8AA8ABE}">
  <sheetPr>
    <tabColor rgb="FFFFFF00"/>
    <pageSetUpPr fitToPage="1"/>
  </sheetPr>
  <dimension ref="A1:O59"/>
  <sheetViews>
    <sheetView topLeftCell="B25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3" width="14.1406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279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280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13</v>
      </c>
      <c r="B20" s="12" t="s">
        <v>21</v>
      </c>
      <c r="C20" s="13">
        <v>1728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2700569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281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33</v>
      </c>
      <c r="B25" s="21">
        <v>483</v>
      </c>
      <c r="C25" s="22" t="s">
        <v>282</v>
      </c>
      <c r="D25" s="23">
        <v>68566587</v>
      </c>
      <c r="E25" s="24" t="s">
        <v>283</v>
      </c>
      <c r="F25" s="25">
        <v>45943</v>
      </c>
      <c r="G25" s="24">
        <v>2778207</v>
      </c>
      <c r="H25" s="22" t="s">
        <v>134</v>
      </c>
      <c r="I25" s="24" t="s">
        <v>284</v>
      </c>
      <c r="J25" s="26">
        <v>594</v>
      </c>
      <c r="K25" s="26">
        <v>450.25</v>
      </c>
      <c r="L25" s="26">
        <v>143.75</v>
      </c>
      <c r="N25" s="35"/>
      <c r="O25" s="35"/>
    </row>
    <row r="26" spans="1:15" ht="22.5" x14ac:dyDescent="0.2">
      <c r="A26" s="20">
        <v>34</v>
      </c>
      <c r="B26" s="21">
        <v>483</v>
      </c>
      <c r="C26" s="22" t="s">
        <v>282</v>
      </c>
      <c r="D26" s="23">
        <v>68566587</v>
      </c>
      <c r="E26" s="24" t="s">
        <v>283</v>
      </c>
      <c r="F26" s="25">
        <v>45943</v>
      </c>
      <c r="G26" s="24">
        <v>6308860</v>
      </c>
      <c r="H26" s="22" t="s">
        <v>285</v>
      </c>
      <c r="I26" s="24" t="s">
        <v>286</v>
      </c>
      <c r="J26" s="26">
        <v>13895</v>
      </c>
      <c r="K26" s="26">
        <v>10532.41</v>
      </c>
      <c r="L26" s="26">
        <v>3362.59</v>
      </c>
      <c r="N26" s="35"/>
      <c r="O26" s="35"/>
    </row>
    <row r="27" spans="1:15" ht="22.5" x14ac:dyDescent="0.2">
      <c r="A27" s="20">
        <v>35</v>
      </c>
      <c r="B27" s="21">
        <v>483</v>
      </c>
      <c r="C27" s="22" t="s">
        <v>282</v>
      </c>
      <c r="D27" s="23">
        <v>68566587</v>
      </c>
      <c r="E27" s="24" t="s">
        <v>283</v>
      </c>
      <c r="F27" s="25">
        <v>45943</v>
      </c>
      <c r="G27" s="24">
        <v>6868954</v>
      </c>
      <c r="H27" s="22" t="s">
        <v>287</v>
      </c>
      <c r="I27" s="24" t="s">
        <v>288</v>
      </c>
      <c r="J27" s="26">
        <v>14</v>
      </c>
      <c r="K27" s="26">
        <v>10.61</v>
      </c>
      <c r="L27" s="26">
        <v>3.39</v>
      </c>
      <c r="N27" s="35"/>
      <c r="O27" s="35"/>
    </row>
    <row r="28" spans="1:15" ht="22.5" x14ac:dyDescent="0.2">
      <c r="A28" s="20">
        <v>36</v>
      </c>
      <c r="B28" s="21">
        <v>483</v>
      </c>
      <c r="C28" s="22" t="s">
        <v>282</v>
      </c>
      <c r="D28" s="23">
        <v>68566587</v>
      </c>
      <c r="E28" s="24" t="s">
        <v>283</v>
      </c>
      <c r="F28" s="25">
        <v>45943</v>
      </c>
      <c r="G28" s="24">
        <v>6868954</v>
      </c>
      <c r="H28" s="22" t="s">
        <v>287</v>
      </c>
      <c r="I28" s="24" t="s">
        <v>288</v>
      </c>
      <c r="J28" s="26">
        <v>14</v>
      </c>
      <c r="K28" s="26">
        <v>10.61</v>
      </c>
      <c r="L28" s="26">
        <v>3.39</v>
      </c>
      <c r="N28" s="35"/>
      <c r="O28" s="35"/>
    </row>
    <row r="29" spans="1:15" ht="33.75" x14ac:dyDescent="0.2">
      <c r="A29" s="20">
        <v>37</v>
      </c>
      <c r="B29" s="21">
        <v>483</v>
      </c>
      <c r="C29" s="22" t="s">
        <v>282</v>
      </c>
      <c r="D29" s="23">
        <v>68566587</v>
      </c>
      <c r="E29" s="24" t="s">
        <v>283</v>
      </c>
      <c r="F29" s="25">
        <v>45943</v>
      </c>
      <c r="G29" s="24">
        <v>6872444</v>
      </c>
      <c r="H29" s="22" t="s">
        <v>289</v>
      </c>
      <c r="I29" s="24" t="s">
        <v>290</v>
      </c>
      <c r="J29" s="26">
        <v>7.2</v>
      </c>
      <c r="K29" s="26">
        <v>5.46</v>
      </c>
      <c r="L29" s="26">
        <v>1.74</v>
      </c>
      <c r="N29" s="35"/>
      <c r="O29" s="35"/>
    </row>
    <row r="30" spans="1:15" ht="33.75" x14ac:dyDescent="0.2">
      <c r="A30" s="20">
        <v>38</v>
      </c>
      <c r="B30" s="21">
        <v>483</v>
      </c>
      <c r="C30" s="22" t="s">
        <v>282</v>
      </c>
      <c r="D30" s="23">
        <v>68566587</v>
      </c>
      <c r="E30" s="24" t="s">
        <v>283</v>
      </c>
      <c r="F30" s="25">
        <v>45943</v>
      </c>
      <c r="G30" s="24">
        <v>6875934</v>
      </c>
      <c r="H30" s="22" t="s">
        <v>291</v>
      </c>
      <c r="I30" s="24" t="s">
        <v>292</v>
      </c>
      <c r="J30" s="26">
        <v>6.8</v>
      </c>
      <c r="K30" s="26">
        <v>5.15</v>
      </c>
      <c r="L30" s="26">
        <v>1.65</v>
      </c>
      <c r="N30" s="35"/>
      <c r="O30" s="35"/>
    </row>
    <row r="31" spans="1:15" ht="22.5" x14ac:dyDescent="0.2">
      <c r="A31" s="20">
        <v>39</v>
      </c>
      <c r="B31" s="21">
        <v>483</v>
      </c>
      <c r="C31" s="22" t="s">
        <v>282</v>
      </c>
      <c r="D31" s="23">
        <v>68566587</v>
      </c>
      <c r="E31" s="24" t="s">
        <v>283</v>
      </c>
      <c r="F31" s="25">
        <v>45943</v>
      </c>
      <c r="G31" s="24">
        <v>6883227</v>
      </c>
      <c r="H31" s="22" t="s">
        <v>293</v>
      </c>
      <c r="I31" s="24" t="s">
        <v>294</v>
      </c>
      <c r="J31" s="26">
        <v>30</v>
      </c>
      <c r="K31" s="26">
        <v>22.740000000000002</v>
      </c>
      <c r="L31" s="26">
        <v>7.26</v>
      </c>
      <c r="N31" s="35"/>
      <c r="O31" s="35"/>
    </row>
    <row r="32" spans="1:15" ht="22.5" x14ac:dyDescent="0.2">
      <c r="A32" s="20">
        <v>40</v>
      </c>
      <c r="B32" s="21">
        <v>483</v>
      </c>
      <c r="C32" s="22" t="s">
        <v>282</v>
      </c>
      <c r="D32" s="23">
        <v>68566587</v>
      </c>
      <c r="E32" s="24" t="s">
        <v>283</v>
      </c>
      <c r="F32" s="25">
        <v>45943</v>
      </c>
      <c r="G32" s="24">
        <v>7141252</v>
      </c>
      <c r="H32" s="22" t="s">
        <v>134</v>
      </c>
      <c r="I32" s="24" t="s">
        <v>135</v>
      </c>
      <c r="J32" s="26">
        <v>375</v>
      </c>
      <c r="K32" s="26">
        <v>284.25</v>
      </c>
      <c r="L32" s="26">
        <v>90.75</v>
      </c>
      <c r="N32" s="35"/>
      <c r="O32" s="35"/>
    </row>
    <row r="33" spans="1:15" ht="22.5" x14ac:dyDescent="0.2">
      <c r="A33" s="20">
        <v>41</v>
      </c>
      <c r="B33" s="21">
        <v>483</v>
      </c>
      <c r="C33" s="22" t="s">
        <v>282</v>
      </c>
      <c r="D33" s="23">
        <v>68566587</v>
      </c>
      <c r="E33" s="24" t="s">
        <v>283</v>
      </c>
      <c r="F33" s="25">
        <v>45943</v>
      </c>
      <c r="G33" s="24">
        <v>7141260</v>
      </c>
      <c r="H33" s="22" t="s">
        <v>134</v>
      </c>
      <c r="I33" s="24" t="s">
        <v>136</v>
      </c>
      <c r="J33" s="26">
        <v>609</v>
      </c>
      <c r="K33" s="26">
        <v>461.62</v>
      </c>
      <c r="L33" s="26">
        <v>147.38</v>
      </c>
      <c r="N33" s="35"/>
      <c r="O33" s="35"/>
    </row>
    <row r="34" spans="1:15" ht="22.5" x14ac:dyDescent="0.2">
      <c r="A34" s="20">
        <v>42</v>
      </c>
      <c r="B34" s="21">
        <v>483</v>
      </c>
      <c r="C34" s="22" t="s">
        <v>282</v>
      </c>
      <c r="D34" s="23">
        <v>68566587</v>
      </c>
      <c r="E34" s="24" t="s">
        <v>283</v>
      </c>
      <c r="F34" s="25">
        <v>45943</v>
      </c>
      <c r="G34" s="24">
        <v>7502842</v>
      </c>
      <c r="H34" s="22" t="s">
        <v>134</v>
      </c>
      <c r="I34" s="24" t="s">
        <v>137</v>
      </c>
      <c r="J34" s="26">
        <v>1810</v>
      </c>
      <c r="K34" s="26">
        <v>1371.98</v>
      </c>
      <c r="L34" s="26">
        <v>438.02</v>
      </c>
      <c r="N34" s="35"/>
      <c r="O34" s="35"/>
    </row>
    <row r="35" spans="1:15" ht="22.5" x14ac:dyDescent="0.2">
      <c r="A35" s="20">
        <v>43</v>
      </c>
      <c r="B35" s="21">
        <v>483</v>
      </c>
      <c r="C35" s="22" t="s">
        <v>282</v>
      </c>
      <c r="D35" s="23">
        <v>68566587</v>
      </c>
      <c r="E35" s="24" t="s">
        <v>283</v>
      </c>
      <c r="F35" s="25">
        <v>45943</v>
      </c>
      <c r="G35" s="24">
        <v>7502859</v>
      </c>
      <c r="H35" s="22" t="s">
        <v>134</v>
      </c>
      <c r="I35" s="24" t="s">
        <v>295</v>
      </c>
      <c r="J35" s="26">
        <v>905</v>
      </c>
      <c r="K35" s="26">
        <v>686</v>
      </c>
      <c r="L35" s="26">
        <v>219</v>
      </c>
      <c r="N35" s="35"/>
      <c r="O35" s="35"/>
    </row>
    <row r="36" spans="1:15" ht="22.5" x14ac:dyDescent="0.2">
      <c r="A36" s="20">
        <v>44</v>
      </c>
      <c r="B36" s="21">
        <v>483</v>
      </c>
      <c r="C36" s="22" t="s">
        <v>282</v>
      </c>
      <c r="D36" s="23">
        <v>68566587</v>
      </c>
      <c r="E36" s="24" t="s">
        <v>283</v>
      </c>
      <c r="F36" s="25">
        <v>45943</v>
      </c>
      <c r="G36" s="24">
        <v>7503030</v>
      </c>
      <c r="H36" s="22" t="s">
        <v>134</v>
      </c>
      <c r="I36" s="24" t="s">
        <v>138</v>
      </c>
      <c r="J36" s="26">
        <v>480</v>
      </c>
      <c r="K36" s="26">
        <v>363.84000000000003</v>
      </c>
      <c r="L36" s="26">
        <v>116.16</v>
      </c>
      <c r="N36" s="35"/>
      <c r="O36" s="35"/>
    </row>
    <row r="37" spans="1:15" ht="22.5" x14ac:dyDescent="0.2">
      <c r="A37" s="20">
        <v>45</v>
      </c>
      <c r="B37" s="21">
        <v>483</v>
      </c>
      <c r="C37" s="22" t="s">
        <v>282</v>
      </c>
      <c r="D37" s="23">
        <v>68566587</v>
      </c>
      <c r="E37" s="24" t="s">
        <v>283</v>
      </c>
      <c r="F37" s="25">
        <v>45943</v>
      </c>
      <c r="G37" s="24">
        <v>7503048</v>
      </c>
      <c r="H37" s="22" t="s">
        <v>134</v>
      </c>
      <c r="I37" s="24" t="s">
        <v>296</v>
      </c>
      <c r="J37" s="26">
        <v>260</v>
      </c>
      <c r="K37" s="26">
        <v>197.07999999999998</v>
      </c>
      <c r="L37" s="26">
        <v>62.92</v>
      </c>
      <c r="N37" s="35"/>
      <c r="O37" s="35"/>
    </row>
    <row r="38" spans="1:15" ht="14.1" customHeight="1" x14ac:dyDescent="0.2">
      <c r="B38" s="11"/>
      <c r="C38" s="27"/>
      <c r="D38" s="28"/>
      <c r="E38" s="11"/>
      <c r="F38" s="11"/>
      <c r="G38" s="11"/>
      <c r="H38" s="29"/>
      <c r="I38" s="29"/>
      <c r="J38" s="29"/>
      <c r="K38" s="34"/>
      <c r="L38" s="12"/>
    </row>
    <row r="39" spans="1:15" ht="14.1" customHeight="1" x14ac:dyDescent="0.2">
      <c r="B39" s="11"/>
      <c r="C39" s="27"/>
      <c r="D39" s="28"/>
      <c r="E39" s="14"/>
      <c r="F39" s="14"/>
      <c r="G39" s="14"/>
      <c r="H39" s="14"/>
      <c r="I39" s="29"/>
      <c r="J39" s="29"/>
      <c r="K39" s="12"/>
      <c r="L39" s="12"/>
    </row>
    <row r="40" spans="1:15" ht="14.1" customHeight="1" x14ac:dyDescent="0.2">
      <c r="B40" s="11"/>
      <c r="C40" s="27"/>
      <c r="D40" s="28"/>
      <c r="E40" s="11"/>
      <c r="F40" s="12"/>
      <c r="G40" s="12"/>
      <c r="H40" s="12"/>
      <c r="I40" s="29"/>
      <c r="J40" s="29"/>
      <c r="K40" s="12"/>
      <c r="L40" s="12"/>
    </row>
    <row r="41" spans="1:15" ht="14.1" customHeight="1" thickBot="1" x14ac:dyDescent="0.25">
      <c r="B41" s="11"/>
      <c r="C41" s="27"/>
      <c r="D41" s="12" t="s">
        <v>46</v>
      </c>
      <c r="E41" s="30"/>
      <c r="F41" s="30"/>
      <c r="G41" s="30"/>
      <c r="H41" s="31"/>
      <c r="I41" s="12"/>
      <c r="J41" s="29"/>
      <c r="K41" s="12"/>
      <c r="L41" s="32">
        <v>4598</v>
      </c>
    </row>
    <row r="42" spans="1:15" ht="14.1" customHeight="1" thickTop="1" x14ac:dyDescent="0.2">
      <c r="B42" s="11"/>
      <c r="C42" s="27"/>
      <c r="D42" s="33"/>
      <c r="E42" s="30"/>
      <c r="F42" s="30"/>
      <c r="G42" s="30"/>
      <c r="H42" s="31"/>
      <c r="I42" s="12"/>
      <c r="J42" s="29"/>
      <c r="K42" s="12"/>
      <c r="L42" s="34"/>
    </row>
    <row r="43" spans="1:15" ht="14.1" customHeight="1" x14ac:dyDescent="0.2"/>
    <row r="44" spans="1:15" ht="14.1" customHeight="1" x14ac:dyDescent="0.2"/>
    <row r="45" spans="1:15" ht="14.1" customHeight="1" x14ac:dyDescent="0.2"/>
    <row r="46" spans="1:15" ht="14.1" customHeight="1" x14ac:dyDescent="0.25">
      <c r="C46"/>
      <c r="D46"/>
      <c r="E46"/>
      <c r="F46"/>
      <c r="G46"/>
      <c r="H46"/>
      <c r="I46"/>
      <c r="J46"/>
      <c r="K46"/>
    </row>
    <row r="47" spans="1:15" ht="14.1" customHeight="1" x14ac:dyDescent="0.2"/>
    <row r="48" spans="1:15" ht="14.1" customHeight="1" x14ac:dyDescent="0.2"/>
    <row r="49" ht="14.1" customHeight="1" x14ac:dyDescent="0.2"/>
    <row r="50" ht="14.1" customHeight="1" x14ac:dyDescent="0.2"/>
    <row r="51" ht="14.1" customHeight="1" x14ac:dyDescent="0.2"/>
    <row r="52" ht="14.1" customHeight="1" x14ac:dyDescent="0.2"/>
    <row r="53" ht="14.1" customHeight="1" x14ac:dyDescent="0.2"/>
    <row r="54" ht="14.1" customHeight="1" x14ac:dyDescent="0.2"/>
    <row r="55" ht="14.1" customHeight="1" x14ac:dyDescent="0.2"/>
    <row r="56" ht="14.1" customHeight="1" x14ac:dyDescent="0.2"/>
    <row r="57" ht="14.1" customHeight="1" x14ac:dyDescent="0.2"/>
    <row r="58" ht="14.1" customHeight="1" x14ac:dyDescent="0.2"/>
    <row r="59" ht="14.1" customHeight="1" x14ac:dyDescent="0.2"/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1C069B22-D997-485B-8816-C1AFDC44CA04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4AF2-75D1-43E9-823C-D547226D930C}">
  <sheetPr>
    <tabColor rgb="FFFFFF00"/>
    <pageSetUpPr fitToPage="1"/>
  </sheetPr>
  <dimension ref="A1:O38"/>
  <sheetViews>
    <sheetView topLeftCell="B23" zoomScaleNormal="100" workbookViewId="0">
      <selection activeCell="C19" sqref="C19:C2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297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5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5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5" x14ac:dyDescent="0.2">
      <c r="A19" s="2" t="s">
        <v>18</v>
      </c>
      <c r="B19" s="12" t="s">
        <v>19</v>
      </c>
      <c r="C19" s="13" t="s">
        <v>298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5" ht="13.5" thickBot="1" x14ac:dyDescent="0.25">
      <c r="A20" s="2">
        <v>5</v>
      </c>
      <c r="B20" s="12" t="s">
        <v>21</v>
      </c>
      <c r="C20" s="13">
        <v>2108097176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5" ht="13.9" customHeight="1" thickBot="1" x14ac:dyDescent="0.25">
      <c r="A21" s="2" t="s">
        <v>22</v>
      </c>
      <c r="B21" s="12" t="s">
        <v>23</v>
      </c>
      <c r="C21" s="13">
        <v>4257580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5" x14ac:dyDescent="0.2">
      <c r="A22" s="2">
        <v>0</v>
      </c>
      <c r="B22" s="12" t="s">
        <v>26</v>
      </c>
      <c r="C22" s="13" t="s">
        <v>281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5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5" ht="22.5" x14ac:dyDescent="0.2">
      <c r="A25" s="20">
        <v>352</v>
      </c>
      <c r="B25" s="21">
        <v>483</v>
      </c>
      <c r="C25" s="22" t="s">
        <v>299</v>
      </c>
      <c r="D25" s="23">
        <v>68822519</v>
      </c>
      <c r="E25" s="24" t="s">
        <v>300</v>
      </c>
      <c r="F25" s="25">
        <v>45957</v>
      </c>
      <c r="G25" s="24">
        <v>3073061</v>
      </c>
      <c r="H25" s="22" t="s">
        <v>42</v>
      </c>
      <c r="I25" s="24" t="s">
        <v>43</v>
      </c>
      <c r="J25" s="26">
        <v>22</v>
      </c>
      <c r="K25" s="26">
        <v>14.8</v>
      </c>
      <c r="L25" s="26">
        <v>7.2</v>
      </c>
      <c r="N25" s="35"/>
      <c r="O25" s="35"/>
    </row>
    <row r="26" spans="1:15" ht="22.5" x14ac:dyDescent="0.2">
      <c r="A26" s="20">
        <v>353</v>
      </c>
      <c r="B26" s="21">
        <v>483</v>
      </c>
      <c r="C26" s="22" t="s">
        <v>299</v>
      </c>
      <c r="D26" s="23">
        <v>68822519</v>
      </c>
      <c r="E26" s="24" t="s">
        <v>300</v>
      </c>
      <c r="F26" s="25">
        <v>45957</v>
      </c>
      <c r="G26" s="24">
        <v>3076254</v>
      </c>
      <c r="H26" s="22" t="s">
        <v>141</v>
      </c>
      <c r="I26" s="24" t="s">
        <v>142</v>
      </c>
      <c r="J26" s="26">
        <v>70</v>
      </c>
      <c r="K26" s="26">
        <v>60.980000000000004</v>
      </c>
      <c r="L26" s="26">
        <v>9.02</v>
      </c>
      <c r="N26" s="35"/>
      <c r="O26" s="35"/>
    </row>
    <row r="27" spans="1:15" ht="33.75" x14ac:dyDescent="0.2">
      <c r="A27" s="20">
        <v>354</v>
      </c>
      <c r="B27" s="21">
        <v>483</v>
      </c>
      <c r="C27" s="22" t="s">
        <v>299</v>
      </c>
      <c r="D27" s="23">
        <v>68822519</v>
      </c>
      <c r="E27" s="24" t="s">
        <v>300</v>
      </c>
      <c r="F27" s="25">
        <v>45957</v>
      </c>
      <c r="G27" s="24">
        <v>3076411</v>
      </c>
      <c r="H27" s="22" t="s">
        <v>269</v>
      </c>
      <c r="I27" s="24" t="s">
        <v>270</v>
      </c>
      <c r="J27" s="26">
        <v>54</v>
      </c>
      <c r="K27" s="26">
        <v>37.06</v>
      </c>
      <c r="L27" s="26">
        <v>16.940000000000001</v>
      </c>
      <c r="N27" s="35"/>
      <c r="O27" s="35"/>
    </row>
    <row r="28" spans="1:15" ht="33.75" x14ac:dyDescent="0.2">
      <c r="A28" s="20">
        <v>355</v>
      </c>
      <c r="B28" s="21">
        <v>483</v>
      </c>
      <c r="C28" s="22" t="s">
        <v>299</v>
      </c>
      <c r="D28" s="23">
        <v>68822519</v>
      </c>
      <c r="E28" s="24" t="s">
        <v>300</v>
      </c>
      <c r="F28" s="25">
        <v>45957</v>
      </c>
      <c r="G28" s="24">
        <v>3076486</v>
      </c>
      <c r="H28" s="22" t="s">
        <v>92</v>
      </c>
      <c r="I28" s="24" t="s">
        <v>93</v>
      </c>
      <c r="J28" s="26">
        <v>93</v>
      </c>
      <c r="K28" s="26">
        <v>76.2</v>
      </c>
      <c r="L28" s="26">
        <v>16.8</v>
      </c>
      <c r="N28" s="35"/>
      <c r="O28" s="35"/>
    </row>
    <row r="29" spans="1:15" ht="22.5" x14ac:dyDescent="0.2">
      <c r="A29" s="20">
        <v>356</v>
      </c>
      <c r="B29" s="21">
        <v>483</v>
      </c>
      <c r="C29" s="22" t="s">
        <v>299</v>
      </c>
      <c r="D29" s="23">
        <v>68822519</v>
      </c>
      <c r="E29" s="24" t="s">
        <v>300</v>
      </c>
      <c r="F29" s="25">
        <v>45957</v>
      </c>
      <c r="G29" s="24">
        <v>7301021</v>
      </c>
      <c r="H29" s="22" t="s">
        <v>152</v>
      </c>
      <c r="I29" s="24" t="s">
        <v>153</v>
      </c>
      <c r="J29" s="26">
        <v>189</v>
      </c>
      <c r="K29" s="26">
        <v>143.26</v>
      </c>
      <c r="L29" s="26">
        <v>45.74</v>
      </c>
      <c r="N29" s="35"/>
      <c r="O29" s="35"/>
    </row>
    <row r="30" spans="1:15" x14ac:dyDescent="0.2">
      <c r="B30" s="11"/>
      <c r="C30" s="27"/>
      <c r="D30" s="28"/>
      <c r="E30" s="11"/>
      <c r="F30" s="11"/>
      <c r="G30" s="11"/>
      <c r="H30" s="29"/>
      <c r="I30" s="29"/>
      <c r="J30" s="29"/>
      <c r="K30" s="34"/>
      <c r="L30" s="12"/>
    </row>
    <row r="31" spans="1:15" x14ac:dyDescent="0.2">
      <c r="B31" s="11"/>
      <c r="C31" s="27"/>
      <c r="D31" s="28"/>
      <c r="E31" s="14"/>
      <c r="F31" s="14"/>
      <c r="G31" s="14"/>
      <c r="H31" s="14"/>
      <c r="I31" s="29"/>
      <c r="J31" s="29"/>
      <c r="K31" s="12"/>
      <c r="L31" s="12"/>
    </row>
    <row r="32" spans="1:15" x14ac:dyDescent="0.2">
      <c r="B32" s="11"/>
      <c r="C32" s="27"/>
      <c r="D32" s="28"/>
      <c r="E32" s="11"/>
      <c r="F32" s="12"/>
      <c r="G32" s="12"/>
      <c r="H32" s="12"/>
      <c r="I32" s="29"/>
      <c r="J32" s="29"/>
      <c r="K32" s="12"/>
      <c r="L32" s="12"/>
    </row>
    <row r="33" spans="2:12" ht="13.5" thickBot="1" x14ac:dyDescent="0.25">
      <c r="B33" s="11"/>
      <c r="C33" s="27"/>
      <c r="D33" s="12" t="s">
        <v>46</v>
      </c>
      <c r="E33" s="30"/>
      <c r="F33" s="30"/>
      <c r="G33" s="30"/>
      <c r="H33" s="31"/>
      <c r="I33" s="12"/>
      <c r="J33" s="29"/>
      <c r="K33" s="12"/>
      <c r="L33" s="32">
        <v>95.699999999999989</v>
      </c>
    </row>
    <row r="34" spans="2:12" ht="13.5" thickTop="1" x14ac:dyDescent="0.2">
      <c r="B34" s="11"/>
      <c r="C34" s="27"/>
      <c r="D34" s="33"/>
      <c r="E34" s="30"/>
      <c r="F34" s="30"/>
      <c r="G34" s="30"/>
      <c r="H34" s="31"/>
      <c r="I34" s="12"/>
      <c r="J34" s="29"/>
      <c r="K34" s="12"/>
      <c r="L34" s="34"/>
    </row>
    <row r="38" spans="2:12" ht="59.65" customHeight="1" x14ac:dyDescent="0.25">
      <c r="C38"/>
      <c r="D38"/>
      <c r="E38"/>
      <c r="F38"/>
      <c r="G38"/>
      <c r="H38"/>
      <c r="I38"/>
      <c r="J38"/>
      <c r="K38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939DA124-E26F-4E57-9A79-9C4D341E97B1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429D-64DB-4832-A987-5B105B6BCA21}">
  <sheetPr>
    <tabColor rgb="FFFFFF00"/>
    <pageSetUpPr fitToPage="1"/>
  </sheetPr>
  <dimension ref="A1:L39"/>
  <sheetViews>
    <sheetView topLeftCell="B23" zoomScaleNormal="100" workbookViewId="0">
      <selection activeCell="C19" sqref="C19:C21"/>
    </sheetView>
  </sheetViews>
  <sheetFormatPr defaultColWidth="8.85546875" defaultRowHeight="12.75" x14ac:dyDescent="0.2"/>
  <cols>
    <col min="1" max="1" width="14.42578125" style="2" hidden="1" customWidth="1"/>
    <col min="2" max="2" width="13.28515625" style="2" customWidth="1"/>
    <col min="3" max="3" width="14.28515625" style="2" customWidth="1"/>
    <col min="4" max="4" width="11.140625" style="2" customWidth="1"/>
    <col min="5" max="5" width="16.5703125" style="2" customWidth="1"/>
    <col min="6" max="7" width="11.42578125" style="2" customWidth="1"/>
    <col min="8" max="8" width="8.85546875" style="2"/>
    <col min="9" max="9" width="19.7109375" style="2" customWidth="1"/>
    <col min="10" max="10" width="10.42578125" style="2" customWidth="1"/>
    <col min="11" max="11" width="11.7109375" style="2" customWidth="1"/>
    <col min="12" max="12" width="9.710937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301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6" t="s">
        <v>14</v>
      </c>
      <c r="J14" s="47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8" t="s">
        <v>16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.6" customHeight="1" x14ac:dyDescent="0.2">
      <c r="B17" s="49">
        <v>45961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x14ac:dyDescent="0.2">
      <c r="B18" s="12" t="s">
        <v>17</v>
      </c>
      <c r="C18" s="12"/>
      <c r="D18" s="12"/>
      <c r="E18" s="11"/>
      <c r="F18" s="12"/>
      <c r="G18" s="12"/>
      <c r="H18" s="12"/>
      <c r="I18" s="1"/>
      <c r="J18" s="12"/>
      <c r="K18" s="12"/>
      <c r="L18" s="12"/>
    </row>
    <row r="19" spans="1:12" x14ac:dyDescent="0.2">
      <c r="A19" s="2" t="s">
        <v>18</v>
      </c>
      <c r="B19" s="12" t="s">
        <v>19</v>
      </c>
      <c r="C19" s="13" t="s">
        <v>302</v>
      </c>
      <c r="D19" s="12"/>
      <c r="E19" s="11"/>
      <c r="F19" s="1"/>
      <c r="G19" s="1"/>
      <c r="H19" s="1"/>
      <c r="I19" s="1"/>
      <c r="J19" s="1"/>
      <c r="K19" s="1"/>
      <c r="L19" s="12"/>
    </row>
    <row r="20" spans="1:12" ht="13.5" thickBot="1" x14ac:dyDescent="0.25">
      <c r="A20" s="2">
        <v>6</v>
      </c>
      <c r="B20" s="12" t="s">
        <v>21</v>
      </c>
      <c r="C20" s="13">
        <v>3975</v>
      </c>
      <c r="D20" s="12"/>
      <c r="E20" s="11"/>
      <c r="F20" s="14"/>
      <c r="G20" s="14"/>
      <c r="H20" s="15"/>
      <c r="I20" s="15"/>
      <c r="J20" s="12"/>
      <c r="K20" s="12"/>
      <c r="L20" s="12"/>
    </row>
    <row r="21" spans="1:12" ht="13.9" customHeight="1" thickBot="1" x14ac:dyDescent="0.25">
      <c r="A21" s="2" t="s">
        <v>22</v>
      </c>
      <c r="B21" s="12" t="s">
        <v>23</v>
      </c>
      <c r="C21" s="13">
        <v>4275890</v>
      </c>
      <c r="E21" s="11"/>
      <c r="F21" s="14"/>
      <c r="G21" s="14"/>
      <c r="H21" s="15"/>
      <c r="I21" s="16" t="s">
        <v>24</v>
      </c>
      <c r="J21" s="52" t="s">
        <v>25</v>
      </c>
      <c r="K21" s="51"/>
      <c r="L21" s="12"/>
    </row>
    <row r="22" spans="1:12" x14ac:dyDescent="0.2">
      <c r="A22" s="2">
        <v>0</v>
      </c>
      <c r="B22" s="12" t="s">
        <v>26</v>
      </c>
      <c r="C22" s="13" t="s">
        <v>27</v>
      </c>
      <c r="D22" s="12"/>
      <c r="E22" s="11"/>
      <c r="F22" s="11"/>
      <c r="G22" s="11"/>
      <c r="H22" s="12"/>
      <c r="I22" s="12"/>
      <c r="J22" s="12"/>
      <c r="K22" s="12"/>
      <c r="L22" s="12"/>
    </row>
    <row r="23" spans="1:12" ht="4.1500000000000004" customHeight="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9" customFormat="1" ht="22.5" x14ac:dyDescent="0.2">
      <c r="A24" s="17" t="s">
        <v>28</v>
      </c>
      <c r="B24" s="18" t="s">
        <v>29</v>
      </c>
      <c r="C24" s="18" t="s">
        <v>30</v>
      </c>
      <c r="D24" s="18" t="s">
        <v>31</v>
      </c>
      <c r="E24" s="18" t="s">
        <v>32</v>
      </c>
      <c r="F24" s="18" t="s">
        <v>33</v>
      </c>
      <c r="G24" s="18" t="s">
        <v>34</v>
      </c>
      <c r="H24" s="18" t="s">
        <v>35</v>
      </c>
      <c r="I24" s="18" t="s">
        <v>36</v>
      </c>
      <c r="J24" s="18" t="s">
        <v>37</v>
      </c>
      <c r="K24" s="18" t="s">
        <v>38</v>
      </c>
      <c r="L24" s="18" t="s">
        <v>39</v>
      </c>
    </row>
    <row r="25" spans="1:12" ht="22.5" x14ac:dyDescent="0.2">
      <c r="A25" s="20">
        <v>114</v>
      </c>
      <c r="B25" s="21">
        <v>483</v>
      </c>
      <c r="C25" s="22" t="s">
        <v>303</v>
      </c>
      <c r="D25" s="23">
        <v>66665522</v>
      </c>
      <c r="E25" s="24" t="s">
        <v>304</v>
      </c>
      <c r="F25" s="25">
        <v>45673</v>
      </c>
      <c r="G25" s="24">
        <v>3063823</v>
      </c>
      <c r="H25" s="22" t="s">
        <v>267</v>
      </c>
      <c r="I25" s="24" t="s">
        <v>268</v>
      </c>
      <c r="J25" s="26">
        <v>118</v>
      </c>
      <c r="K25" s="26">
        <v>108.89</v>
      </c>
      <c r="L25" s="26">
        <v>9.11</v>
      </c>
    </row>
    <row r="26" spans="1:12" ht="22.5" x14ac:dyDescent="0.2">
      <c r="A26" s="20">
        <v>115</v>
      </c>
      <c r="B26" s="21">
        <v>483</v>
      </c>
      <c r="C26" s="22" t="s">
        <v>303</v>
      </c>
      <c r="D26" s="23">
        <v>66665522</v>
      </c>
      <c r="E26" s="24" t="s">
        <v>304</v>
      </c>
      <c r="F26" s="25">
        <v>45673</v>
      </c>
      <c r="G26" s="24">
        <v>3073061</v>
      </c>
      <c r="H26" s="22" t="s">
        <v>42</v>
      </c>
      <c r="I26" s="24" t="s">
        <v>43</v>
      </c>
      <c r="J26" s="26">
        <v>66</v>
      </c>
      <c r="K26" s="26">
        <v>55.92</v>
      </c>
      <c r="L26" s="26">
        <v>10.08</v>
      </c>
    </row>
    <row r="27" spans="1:12" ht="22.5" x14ac:dyDescent="0.2">
      <c r="A27" s="20">
        <v>116</v>
      </c>
      <c r="B27" s="21">
        <v>483</v>
      </c>
      <c r="C27" s="22" t="s">
        <v>303</v>
      </c>
      <c r="D27" s="23">
        <v>66665522</v>
      </c>
      <c r="E27" s="24" t="s">
        <v>304</v>
      </c>
      <c r="F27" s="25">
        <v>45673</v>
      </c>
      <c r="G27" s="24">
        <v>3086303</v>
      </c>
      <c r="H27" s="22" t="s">
        <v>98</v>
      </c>
      <c r="I27" s="24" t="s">
        <v>99</v>
      </c>
      <c r="J27" s="26">
        <v>87</v>
      </c>
      <c r="K27" s="26">
        <v>80.989999999999995</v>
      </c>
      <c r="L27" s="26">
        <v>6.01</v>
      </c>
    </row>
    <row r="28" spans="1:12" ht="22.5" x14ac:dyDescent="0.2">
      <c r="A28" s="20">
        <v>117</v>
      </c>
      <c r="B28" s="21">
        <v>483</v>
      </c>
      <c r="C28" s="22" t="s">
        <v>303</v>
      </c>
      <c r="D28" s="23">
        <v>66665522</v>
      </c>
      <c r="E28" s="24" t="s">
        <v>304</v>
      </c>
      <c r="F28" s="25">
        <v>45673</v>
      </c>
      <c r="G28" s="24">
        <v>3086428</v>
      </c>
      <c r="H28" s="22" t="s">
        <v>100</v>
      </c>
      <c r="I28" s="24" t="s">
        <v>101</v>
      </c>
      <c r="J28" s="26">
        <v>82</v>
      </c>
      <c r="K28" s="26">
        <v>73.59</v>
      </c>
      <c r="L28" s="26">
        <v>8.41</v>
      </c>
    </row>
    <row r="29" spans="1:12" ht="22.5" x14ac:dyDescent="0.2">
      <c r="A29" s="20">
        <v>118</v>
      </c>
      <c r="B29" s="21">
        <v>483</v>
      </c>
      <c r="C29" s="22" t="s">
        <v>303</v>
      </c>
      <c r="D29" s="23">
        <v>66665522</v>
      </c>
      <c r="E29" s="24" t="s">
        <v>304</v>
      </c>
      <c r="F29" s="25">
        <v>45673</v>
      </c>
      <c r="G29" s="24">
        <v>3088119</v>
      </c>
      <c r="H29" s="22" t="s">
        <v>104</v>
      </c>
      <c r="I29" s="24" t="s">
        <v>105</v>
      </c>
      <c r="J29" s="26">
        <v>62</v>
      </c>
      <c r="K29" s="26">
        <v>57.56</v>
      </c>
      <c r="L29" s="26">
        <v>4.4400000000000004</v>
      </c>
    </row>
    <row r="30" spans="1:12" ht="22.5" x14ac:dyDescent="0.2">
      <c r="A30" s="20">
        <v>119</v>
      </c>
      <c r="B30" s="21">
        <v>483</v>
      </c>
      <c r="C30" s="22" t="s">
        <v>303</v>
      </c>
      <c r="D30" s="23">
        <v>66665522</v>
      </c>
      <c r="E30" s="24" t="s">
        <v>304</v>
      </c>
      <c r="F30" s="25">
        <v>45673</v>
      </c>
      <c r="G30" s="24">
        <v>7301021</v>
      </c>
      <c r="H30" s="22" t="s">
        <v>152</v>
      </c>
      <c r="I30" s="24" t="s">
        <v>153</v>
      </c>
      <c r="J30" s="26">
        <v>189</v>
      </c>
      <c r="K30" s="26">
        <v>124.97</v>
      </c>
      <c r="L30" s="26">
        <v>64.03</v>
      </c>
    </row>
    <row r="31" spans="1:12" x14ac:dyDescent="0.2">
      <c r="B31" s="11"/>
      <c r="C31" s="27"/>
      <c r="D31" s="28"/>
      <c r="E31" s="11"/>
      <c r="F31" s="11"/>
      <c r="G31" s="11"/>
      <c r="H31" s="29"/>
      <c r="I31" s="29"/>
      <c r="J31" s="29"/>
      <c r="K31" s="12"/>
      <c r="L31" s="12"/>
    </row>
    <row r="32" spans="1:12" x14ac:dyDescent="0.2">
      <c r="B32" s="11"/>
      <c r="C32" s="27"/>
      <c r="D32" s="28"/>
      <c r="E32" s="14"/>
      <c r="F32" s="14"/>
      <c r="G32" s="14"/>
      <c r="H32" s="14"/>
      <c r="I32" s="29"/>
      <c r="J32" s="29"/>
      <c r="K32" s="12"/>
      <c r="L32" s="12"/>
    </row>
    <row r="33" spans="2:12" x14ac:dyDescent="0.2">
      <c r="B33" s="11"/>
      <c r="C33" s="27"/>
      <c r="D33" s="28"/>
      <c r="E33" s="11"/>
      <c r="F33" s="12"/>
      <c r="G33" s="12"/>
      <c r="H33" s="12"/>
      <c r="I33" s="29"/>
      <c r="J33" s="29"/>
      <c r="K33" s="12"/>
      <c r="L33" s="12"/>
    </row>
    <row r="34" spans="2:12" ht="13.5" thickBot="1" x14ac:dyDescent="0.25">
      <c r="B34" s="11"/>
      <c r="C34" s="27"/>
      <c r="D34" s="12" t="s">
        <v>46</v>
      </c>
      <c r="E34" s="30"/>
      <c r="F34" s="30"/>
      <c r="G34" s="30"/>
      <c r="H34" s="31"/>
      <c r="I34" s="12"/>
      <c r="J34" s="29"/>
      <c r="K34" s="12"/>
      <c r="L34" s="32">
        <v>102.08</v>
      </c>
    </row>
    <row r="35" spans="2:12" ht="13.5" thickTop="1" x14ac:dyDescent="0.2">
      <c r="B35" s="11"/>
      <c r="C35" s="27"/>
      <c r="D35" s="33"/>
      <c r="E35" s="30"/>
      <c r="F35" s="30"/>
      <c r="G35" s="30"/>
      <c r="H35" s="31"/>
      <c r="I35" s="12"/>
      <c r="J35" s="29"/>
      <c r="K35" s="12"/>
      <c r="L35" s="34"/>
    </row>
    <row r="39" spans="2:12" ht="59.65" customHeight="1" x14ac:dyDescent="0.25">
      <c r="C39"/>
      <c r="D39"/>
      <c r="E39"/>
      <c r="F39"/>
      <c r="G39"/>
      <c r="H39"/>
      <c r="I39"/>
      <c r="J39"/>
      <c r="K3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90CA19B3-EE66-4D92-99A2-0E7C8DC1FB7B}">
      <formula1>#REF!</formula1>
    </dataValidation>
  </dataValidations>
  <pageMargins left="0.25" right="0.25" top="0.5" bottom="0.5" header="0.3" footer="0.3"/>
  <pageSetup scale="97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58</vt:i4>
      </vt:variant>
    </vt:vector>
  </HeadingPairs>
  <TitlesOfParts>
    <vt:vector size="88" baseType="lpstr">
      <vt:lpstr>64407564MMY300</vt:lpstr>
      <vt:lpstr>ABK-CA-PROT-85</vt:lpstr>
      <vt:lpstr>AV-299-23-301</vt:lpstr>
      <vt:lpstr>BC-IMT-04</vt:lpstr>
      <vt:lpstr>BGB-16673</vt:lpstr>
      <vt:lpstr>CA 209-76K</vt:lpstr>
      <vt:lpstr>CA2330000</vt:lpstr>
      <vt:lpstr>CHS-388-202</vt:lpstr>
      <vt:lpstr>D361DC00001 C</vt:lpstr>
      <vt:lpstr>D7632C00001 T</vt:lpstr>
      <vt:lpstr>EF-32</vt:lpstr>
      <vt:lpstr>GCT1184-02</vt:lpstr>
      <vt:lpstr>GOG-3041</vt:lpstr>
      <vt:lpstr>HC366-RCC2311</vt:lpstr>
      <vt:lpstr>HCRN BRE20-468</vt:lpstr>
      <vt:lpstr>IMC-F106C-301</vt:lpstr>
      <vt:lpstr>IMMU-132-06</vt:lpstr>
      <vt:lpstr>M22-716</vt:lpstr>
      <vt:lpstr>MK3475-U06</vt:lpstr>
      <vt:lpstr>MK-5684-004</vt:lpstr>
      <vt:lpstr>mRNA-4157-P201</vt:lpstr>
      <vt:lpstr>OLvI-VEC-022</vt:lpstr>
      <vt:lpstr>OP-1250-301 O</vt:lpstr>
      <vt:lpstr>PRISM-1</vt:lpstr>
      <vt:lpstr>RBS2418-1001</vt:lpstr>
      <vt:lpstr>RLY-2608-101</vt:lpstr>
      <vt:lpstr>STK-012-101</vt:lpstr>
      <vt:lpstr>WINDOW Gastric</vt:lpstr>
      <vt:lpstr>XL184-IST103</vt:lpstr>
      <vt:lpstr>Zn-c3-004</vt:lpstr>
      <vt:lpstr>'64407564MMY300'!Print_Area</vt:lpstr>
      <vt:lpstr>'ABK-CA-PROT-85'!Print_Area</vt:lpstr>
      <vt:lpstr>'AV-299-23-301'!Print_Area</vt:lpstr>
      <vt:lpstr>'BC-IMT-04'!Print_Area</vt:lpstr>
      <vt:lpstr>'BGB-16673'!Print_Area</vt:lpstr>
      <vt:lpstr>'CA 209-76K'!Print_Area</vt:lpstr>
      <vt:lpstr>CA2330000!Print_Area</vt:lpstr>
      <vt:lpstr>'CHS-388-202'!Print_Area</vt:lpstr>
      <vt:lpstr>'D361DC00001 C'!Print_Area</vt:lpstr>
      <vt:lpstr>'D7632C00001 T'!Print_Area</vt:lpstr>
      <vt:lpstr>'EF-32'!Print_Area</vt:lpstr>
      <vt:lpstr>'GCT1184-02'!Print_Area</vt:lpstr>
      <vt:lpstr>'GOG-3041'!Print_Area</vt:lpstr>
      <vt:lpstr>'HC366-RCC2311'!Print_Area</vt:lpstr>
      <vt:lpstr>'HCRN BRE20-468'!Print_Area</vt:lpstr>
      <vt:lpstr>'IMC-F106C-301'!Print_Area</vt:lpstr>
      <vt:lpstr>'IMMU-132-06'!Print_Area</vt:lpstr>
      <vt:lpstr>'M22-716'!Print_Area</vt:lpstr>
      <vt:lpstr>'MK3475-U06'!Print_Area</vt:lpstr>
      <vt:lpstr>'MK-5684-004'!Print_Area</vt:lpstr>
      <vt:lpstr>'mRNA-4157-P201'!Print_Area</vt:lpstr>
      <vt:lpstr>'OLvI-VEC-022'!Print_Area</vt:lpstr>
      <vt:lpstr>'OP-1250-301 O'!Print_Area</vt:lpstr>
      <vt:lpstr>'PRISM-1'!Print_Area</vt:lpstr>
      <vt:lpstr>'RBS2418-1001'!Print_Area</vt:lpstr>
      <vt:lpstr>'RLY-2608-101'!Print_Area</vt:lpstr>
      <vt:lpstr>'STK-012-101'!Print_Area</vt:lpstr>
      <vt:lpstr>'WINDOW Gastric'!Print_Area</vt:lpstr>
      <vt:lpstr>'XL184-IST103'!Print_Area</vt:lpstr>
      <vt:lpstr>'Zn-c3-004'!Print_Area</vt:lpstr>
      <vt:lpstr>'ABK-CA-PROT-85'!Print_Titles</vt:lpstr>
      <vt:lpstr>'AV-299-23-301'!Print_Titles</vt:lpstr>
      <vt:lpstr>'BC-IMT-04'!Print_Titles</vt:lpstr>
      <vt:lpstr>'BGB-16673'!Print_Titles</vt:lpstr>
      <vt:lpstr>'CA 209-76K'!Print_Titles</vt:lpstr>
      <vt:lpstr>CA2330000!Print_Titles</vt:lpstr>
      <vt:lpstr>'CHS-388-202'!Print_Titles</vt:lpstr>
      <vt:lpstr>'D361DC00001 C'!Print_Titles</vt:lpstr>
      <vt:lpstr>'D7632C00001 T'!Print_Titles</vt:lpstr>
      <vt:lpstr>'EF-32'!Print_Titles</vt:lpstr>
      <vt:lpstr>'GCT1184-02'!Print_Titles</vt:lpstr>
      <vt:lpstr>'GOG-3041'!Print_Titles</vt:lpstr>
      <vt:lpstr>'HC366-RCC2311'!Print_Titles</vt:lpstr>
      <vt:lpstr>'HCRN BRE20-468'!Print_Titles</vt:lpstr>
      <vt:lpstr>'IMC-F106C-301'!Print_Titles</vt:lpstr>
      <vt:lpstr>'IMMU-132-06'!Print_Titles</vt:lpstr>
      <vt:lpstr>'M22-716'!Print_Titles</vt:lpstr>
      <vt:lpstr>'MK3475-U06'!Print_Titles</vt:lpstr>
      <vt:lpstr>'MK-5684-004'!Print_Titles</vt:lpstr>
      <vt:lpstr>'mRNA-4157-P201'!Print_Titles</vt:lpstr>
      <vt:lpstr>'OLvI-VEC-022'!Print_Titles</vt:lpstr>
      <vt:lpstr>'PRISM-1'!Print_Titles</vt:lpstr>
      <vt:lpstr>'RBS2418-1001'!Print_Titles</vt:lpstr>
      <vt:lpstr>'RLY-2608-101'!Print_Titles</vt:lpstr>
      <vt:lpstr>'STK-012-101'!Print_Titles</vt:lpstr>
      <vt:lpstr>'WINDOW Gastric'!Print_Titles</vt:lpstr>
      <vt:lpstr>'XL184-IST103'!Print_Titles</vt:lpstr>
      <vt:lpstr>'Zn-c3-004'!Print_Titles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Keefe, Caitlyn Leigh - (caitlynkeefe124)</dc:creator>
  <cp:lastModifiedBy>Kristi Lenae Davis</cp:lastModifiedBy>
  <cp:lastPrinted>2026-01-20T20:04:09Z</cp:lastPrinted>
  <dcterms:created xsi:type="dcterms:W3CDTF">2026-01-20T17:41:43Z</dcterms:created>
  <dcterms:modified xsi:type="dcterms:W3CDTF">2026-01-20T20:04:47Z</dcterms:modified>
</cp:coreProperties>
</file>